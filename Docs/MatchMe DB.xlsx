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SPFX\One\Docs\"/>
    </mc:Choice>
  </mc:AlternateContent>
  <xr:revisionPtr revIDLastSave="0" documentId="13_ncr:1_{860AB0F3-CCC8-4281-BC0C-66A81B0CD9DA}" xr6:coauthVersionLast="47" xr6:coauthVersionMax="47" xr10:uidLastSave="{00000000-0000-0000-0000-000000000000}"/>
  <bookViews>
    <workbookView xWindow="-28920" yWindow="2025" windowWidth="29040" windowHeight="15720" firstSheet="1" activeTab="4" xr2:uid="{00000000-000D-0000-FFFF-FFFF00000000}"/>
  </bookViews>
  <sheets>
    <sheet name="UX MVP Tasks" sheetId="22" r:id="rId1"/>
    <sheet name="MVP Guidline" sheetId="20" r:id="rId2"/>
    <sheet name="MVP Tasks" sheetId="23" r:id="rId3"/>
    <sheet name="Users" sheetId="24" r:id="rId4"/>
    <sheet name="Important details" sheetId="21" r:id="rId5"/>
    <sheet name="Tasks Guidline" sheetId="12" r:id="rId6"/>
    <sheet name="Current Tasks" sheetId="16" r:id="rId7"/>
    <sheet name="Analyzer Tasks" sheetId="17" r:id="rId8"/>
    <sheet name="פירוט מודל מנתח" sheetId="18" r:id="rId9"/>
    <sheet name="external traits analyze" sheetId="19" r:id="rId10"/>
    <sheet name="פרטי משתמש" sheetId="3" r:id="rId11"/>
    <sheet name="Internal Traits" sheetId="1" r:id="rId12"/>
    <sheet name="internal traits - Old" sheetId="14" r:id="rId13"/>
    <sheet name="מאפיינים חיצוניים - כללי" sheetId="5" r:id="rId14"/>
    <sheet name="משתמש - מאפיינים" sheetId="2" r:id="rId15"/>
    <sheet name="בניית ציונים" sheetId="9" r:id="rId16"/>
    <sheet name="אלגוריתם ציון פנימי" sheetId="4" r:id="rId17"/>
    <sheet name="אלגוריתם ציון חיצוני" sheetId="6" r:id="rId18"/>
    <sheet name="אלגוריתם שידוכים" sheetId="7" r:id="rId19"/>
    <sheet name="טופס הזנה" sheetId="8" r:id="rId20"/>
    <sheet name="טבלאות דאטה" sheetId="11" r:id="rId21"/>
    <sheet name="שאלות עבור הAI" sheetId="10" r:id="rId22"/>
    <sheet name="בדיקות" sheetId="13" r:id="rId23"/>
    <sheet name="שאלות לפי מלווה" sheetId="15" r:id="rId24"/>
  </sheets>
  <definedNames>
    <definedName name="_xlnm._FilterDatabase" localSheetId="1" hidden="1">'MVP Guidline'!$A$1:$C$42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4" l="1"/>
  <c r="I7" i="6"/>
  <c r="F12" i="9"/>
  <c r="E12" i="9"/>
  <c r="D12" i="9"/>
  <c r="G12" i="9" s="1"/>
  <c r="F11" i="9"/>
  <c r="E11" i="9"/>
  <c r="D11" i="9"/>
  <c r="G11" i="9" s="1"/>
  <c r="F10" i="9"/>
  <c r="E10" i="9"/>
  <c r="G10" i="9" s="1"/>
  <c r="D10" i="9"/>
  <c r="F9" i="9"/>
  <c r="E9" i="9"/>
  <c r="D9" i="9"/>
  <c r="G9" i="9" s="1"/>
  <c r="F8" i="9"/>
  <c r="E8" i="9"/>
  <c r="D8" i="9"/>
  <c r="G8" i="9" s="1"/>
  <c r="F7" i="9"/>
  <c r="E7" i="9"/>
  <c r="G7" i="9" s="1"/>
  <c r="D7" i="9"/>
  <c r="F6" i="9"/>
  <c r="E6" i="9"/>
  <c r="D6" i="9"/>
  <c r="G6" i="9" s="1"/>
  <c r="F5" i="9"/>
  <c r="E5" i="9"/>
  <c r="D5" i="9"/>
  <c r="G5" i="9" s="1"/>
  <c r="F4" i="9"/>
  <c r="E4" i="9"/>
  <c r="G4" i="9" s="1"/>
  <c r="D4" i="9"/>
  <c r="L16" i="7"/>
  <c r="L15" i="7"/>
  <c r="L14" i="7"/>
  <c r="L13" i="7"/>
  <c r="K12" i="7"/>
  <c r="L12" i="7" s="1"/>
  <c r="H7" i="6"/>
  <c r="H8" i="6"/>
  <c r="H12" i="6" s="1"/>
  <c r="H9" i="6"/>
  <c r="H10" i="6"/>
  <c r="H11" i="6"/>
  <c r="D12" i="6"/>
  <c r="F12" i="6"/>
  <c r="I8" i="6"/>
  <c r="I9" i="6"/>
  <c r="I10" i="6"/>
  <c r="I11" i="6"/>
  <c r="J18" i="4"/>
  <c r="J17" i="4"/>
  <c r="J16" i="4"/>
  <c r="J15" i="4"/>
  <c r="J14" i="4"/>
  <c r="J13" i="4"/>
  <c r="J5" i="4"/>
  <c r="J6" i="4"/>
  <c r="J7" i="4"/>
  <c r="L18" i="4"/>
  <c r="L17" i="4"/>
  <c r="L16" i="4"/>
  <c r="L15" i="4"/>
  <c r="L14" i="4"/>
  <c r="L13" i="4"/>
  <c r="L6" i="4"/>
  <c r="L7" i="4"/>
  <c r="I16" i="4"/>
  <c r="H19" i="4"/>
  <c r="I18" i="4"/>
  <c r="I17" i="4"/>
  <c r="I15" i="4"/>
  <c r="I14" i="4"/>
  <c r="I13" i="4"/>
  <c r="I7" i="4"/>
  <c r="I6" i="4"/>
  <c r="I5" i="4"/>
  <c r="I12" i="6" l="1"/>
  <c r="K16" i="4"/>
  <c r="M16" i="4" s="1"/>
  <c r="K17" i="4"/>
  <c r="M17" i="4" s="1"/>
  <c r="K14" i="4"/>
  <c r="M14" i="4" s="1"/>
  <c r="K15" i="4"/>
  <c r="M15" i="4" s="1"/>
  <c r="K7" i="4"/>
  <c r="M7" i="4" s="1"/>
  <c r="K6" i="4"/>
  <c r="M6" i="4" s="1"/>
  <c r="K5" i="4"/>
  <c r="K13" i="4"/>
  <c r="M13" i="4" s="1"/>
  <c r="K18" i="4"/>
  <c r="M18" i="4" s="1"/>
  <c r="L8" i="4"/>
  <c r="I8" i="4"/>
  <c r="I9" i="4" s="1"/>
  <c r="I19" i="4"/>
  <c r="I20" i="4" s="1"/>
  <c r="M5" i="4" l="1"/>
  <c r="M8" i="4" s="1"/>
  <c r="K8" i="4"/>
  <c r="L19" i="4"/>
  <c r="M19" i="4"/>
</calcChain>
</file>

<file path=xl/sharedStrings.xml><?xml version="1.0" encoding="utf-8"?>
<sst xmlns="http://schemas.openxmlformats.org/spreadsheetml/2006/main" count="2011" uniqueCount="1305">
  <si>
    <t>סוג חישוב</t>
  </si>
  <si>
    <t>טווח סינון</t>
  </si>
  <si>
    <t>סוג מידע</t>
  </si>
  <si>
    <t>ודאות נדרשת</t>
  </si>
  <si>
    <t>משקל</t>
  </si>
  <si>
    <r>
      <t>הסבר עבור ה</t>
    </r>
    <r>
      <rPr>
        <b/>
        <sz val="11"/>
        <color theme="1"/>
        <rFont val="Aptos"/>
        <family val="2"/>
      </rPr>
      <t>AI</t>
    </r>
  </si>
  <si>
    <t xml:space="preserve">שם פנימי </t>
  </si>
  <si>
    <t>תכונה</t>
  </si>
  <si>
    <t>רגיל</t>
  </si>
  <si>
    <t>רגיש</t>
  </si>
  <si>
    <t>סחיות</t>
  </si>
  <si>
    <t>emotional_stability</t>
  </si>
  <si>
    <t>יציבות רגשית</t>
  </si>
  <si>
    <t>?</t>
  </si>
  <si>
    <t>פלט בטוח</t>
  </si>
  <si>
    <t>משפחתיות</t>
  </si>
  <si>
    <t>party_orientation</t>
  </si>
  <si>
    <t>נהנתנות בליינית</t>
  </si>
  <si>
    <t>אהבה ליוקרה ונוחות</t>
  </si>
  <si>
    <t>luxury_orientation</t>
  </si>
  <si>
    <t>נהנתנות יוקרתית</t>
  </si>
  <si>
    <t>energy_level</t>
  </si>
  <si>
    <t>אנרגטיות</t>
  </si>
  <si>
    <t>analytical_tendency</t>
  </si>
  <si>
    <t>אנליטיות</t>
  </si>
  <si>
    <t>goophiness</t>
  </si>
  <si>
    <t>שטותניקיות</t>
  </si>
  <si>
    <t>Religiosity</t>
  </si>
  <si>
    <t>דתיות/חילוניות</t>
  </si>
  <si>
    <t>מודעות עצמית</t>
  </si>
  <si>
    <t>self_awareness</t>
  </si>
  <si>
    <t>Humor</t>
  </si>
  <si>
    <t>הומור</t>
  </si>
  <si>
    <t>political_orientation</t>
  </si>
  <si>
    <t>פוליטיות</t>
  </si>
  <si>
    <t>מעורבות חברתית</t>
  </si>
  <si>
    <t>Positivity</t>
  </si>
  <si>
    <t>חיוביות</t>
  </si>
  <si>
    <t>Warmth</t>
  </si>
  <si>
    <t>לבביות</t>
  </si>
  <si>
    <t>openness</t>
  </si>
  <si>
    <t>פתיחות</t>
  </si>
  <si>
    <t>Childishness</t>
  </si>
  <si>
    <t>ילדותיות</t>
  </si>
  <si>
    <t>value_rigidity</t>
  </si>
  <si>
    <t>אהבה לבעלי חיים</t>
  </si>
  <si>
    <t>loves_animals</t>
  </si>
  <si>
    <t>שימוש פנימי</t>
  </si>
  <si>
    <t>appearance_sensitivity</t>
  </si>
  <si>
    <t>רגישות למראה</t>
  </si>
  <si>
    <t>pickiness_score</t>
  </si>
  <si>
    <t>פיקיות</t>
  </si>
  <si>
    <t>שיעור אישור</t>
  </si>
  <si>
    <t>bluntness_score</t>
  </si>
  <si>
    <t>בוטות</t>
  </si>
  <si>
    <t>toxicity_score</t>
  </si>
  <si>
    <t>רעילות</t>
  </si>
  <si>
    <t>רגישות</t>
  </si>
  <si>
    <r>
      <t xml:space="preserve">טבלת מאפיינים </t>
    </r>
    <r>
      <rPr>
        <b/>
        <sz val="11"/>
        <color theme="1"/>
        <rFont val="Aptos"/>
        <family val="2"/>
      </rPr>
      <t xml:space="preserve"> (Trait Definitions)</t>
    </r>
  </si>
  <si>
    <t>הסבר</t>
  </si>
  <si>
    <t>ערך רצוי</t>
  </si>
  <si>
    <t>מאפיין</t>
  </si>
  <si>
    <t>user_id</t>
  </si>
  <si>
    <t>גובה</t>
  </si>
  <si>
    <t>סגנון מראה</t>
  </si>
  <si>
    <t>שם בעברית</t>
  </si>
  <si>
    <t>שם פנימי באנגלית</t>
  </si>
  <si>
    <t>מאפיין מערכת</t>
  </si>
  <si>
    <t>מזהה משתמש ייחודי</t>
  </si>
  <si>
    <t>מזהה משתמש</t>
  </si>
  <si>
    <t>שם פרטי</t>
  </si>
  <si>
    <t>שם</t>
  </si>
  <si>
    <t>first_name</t>
  </si>
  <si>
    <t>גיל</t>
  </si>
  <si>
    <t>Age</t>
  </si>
  <si>
    <t>מגדר</t>
  </si>
  <si>
    <t>Gender</t>
  </si>
  <si>
    <t>מה מחפש</t>
  </si>
  <si>
    <t>מחפש מגדר</t>
  </si>
  <si>
    <t>looking_for_gender</t>
  </si>
  <si>
    <t>עיר</t>
  </si>
  <si>
    <t>City</t>
  </si>
  <si>
    <t>Height</t>
  </si>
  <si>
    <t>סטטוס משתמש</t>
  </si>
  <si>
    <t>סטטוס</t>
  </si>
  <si>
    <t>user_status</t>
  </si>
  <si>
    <t xml:space="preserve">האם אמיתי או משתמש בדיקות </t>
  </si>
  <si>
    <t>משתמש אמיתי</t>
  </si>
  <si>
    <t>is_real_user</t>
  </si>
  <si>
    <t>מוכן לשידוך</t>
  </si>
  <si>
    <t>is_matchable</t>
  </si>
  <si>
    <t>עדיפות</t>
  </si>
  <si>
    <t>first_priority_score</t>
  </si>
  <si>
    <t>סטטוס מנוי</t>
  </si>
  <si>
    <t>מנוי</t>
  </si>
  <si>
    <t>subscription_status</t>
  </si>
  <si>
    <t>זמן יצירה</t>
  </si>
  <si>
    <t>נוצר בתאריך</t>
  </si>
  <si>
    <t>created_at</t>
  </si>
  <si>
    <t>טבלת מאפיינים</t>
  </si>
  <si>
    <t>טבלת מאפיינים רצויים</t>
  </si>
  <si>
    <t>קישור לטבלה</t>
  </si>
  <si>
    <r>
      <t xml:space="preserve">טבלת פרטי משתמש </t>
    </r>
    <r>
      <rPr>
        <b/>
        <sz val="11"/>
        <color theme="1"/>
        <rFont val="Aptos"/>
        <family val="2"/>
      </rPr>
      <t xml:space="preserve"> (UsersDetails)</t>
    </r>
  </si>
  <si>
    <t>אפשרות: גבר/אישה/לא מוגדר</t>
  </si>
  <si>
    <t>אפשרות: גבר/אישה/גם וגם/לא משנה</t>
  </si>
  <si>
    <t>הערות</t>
  </si>
  <si>
    <t>מדינה</t>
  </si>
  <si>
    <t>State</t>
  </si>
  <si>
    <t>מידע מגיע מ</t>
  </si>
  <si>
    <t>טופס הרשמה</t>
  </si>
  <si>
    <t xml:space="preserve">קבוע </t>
  </si>
  <si>
    <t>אלגוריתם</t>
  </si>
  <si>
    <t>attr_table</t>
  </si>
  <si>
    <t>pref_table</t>
  </si>
  <si>
    <t>האם טרול?</t>
  </si>
  <si>
    <t>trollness</t>
  </si>
  <si>
    <t>בעייתיות</t>
  </si>
  <si>
    <t>אלגוריתם באמצעות הAI</t>
  </si>
  <si>
    <t>ValidPerson</t>
  </si>
  <si>
    <t>מידע משמש ל</t>
  </si>
  <si>
    <t>סינון ראשוני</t>
  </si>
  <si>
    <t>סינון ראשוני + סינון עדיפויות משתמש צד שני</t>
  </si>
  <si>
    <t>ציון התאמה</t>
  </si>
  <si>
    <t>אלגוריתם שידוך</t>
  </si>
  <si>
    <t>סינון ראשוני + ציון התאמה</t>
  </si>
  <si>
    <t>מערכת</t>
  </si>
  <si>
    <t>משתמש 1</t>
  </si>
  <si>
    <t>ציון</t>
  </si>
  <si>
    <t>משתמש 2</t>
  </si>
  <si>
    <t>אינטלגנציה</t>
  </si>
  <si>
    <t>ודאות כללית</t>
  </si>
  <si>
    <t xml:space="preserve">מידת התאמה </t>
  </si>
  <si>
    <t>שחום</t>
  </si>
  <si>
    <t>צבע עור</t>
  </si>
  <si>
    <t>צבע שיער</t>
  </si>
  <si>
    <t>צבע עיניים</t>
  </si>
  <si>
    <t>מבנה גוף</t>
  </si>
  <si>
    <t>ציון משוקלל</t>
  </si>
  <si>
    <t>ודאות * משקל</t>
  </si>
  <si>
    <t>טבלת מאפיינים למשתמש ספציפי</t>
  </si>
  <si>
    <t>משקל (לגבי הצד השני)</t>
  </si>
  <si>
    <t>ודאות למידת החשיבות</t>
  </si>
  <si>
    <t>משקל U1</t>
  </si>
  <si>
    <t>ציון U1</t>
  </si>
  <si>
    <t>ודאות U1</t>
  </si>
  <si>
    <t>משקל U2</t>
  </si>
  <si>
    <t>ציון U2</t>
  </si>
  <si>
    <t>ודאות U2</t>
  </si>
  <si>
    <t>ממוצע משקלים</t>
  </si>
  <si>
    <t>סך משקל לגבי הצד השני</t>
  </si>
  <si>
    <t>מאפיינים חיצוניים</t>
  </si>
  <si>
    <t>ערכים אפשריים</t>
  </si>
  <si>
    <t>מקור מידע</t>
  </si>
  <si>
    <t>טופס</t>
  </si>
  <si>
    <t>AI</t>
  </si>
  <si>
    <t>חישוב ציון מאפיינים פנימיים  (אחרי מסננים)</t>
  </si>
  <si>
    <t>טווח סינון דיפולטי</t>
  </si>
  <si>
    <t>טווח סינון אישי אם חשוב</t>
  </si>
  <si>
    <t>מעל המשתמש או עד -10</t>
  </si>
  <si>
    <t>עד 20 למטה או מעל</t>
  </si>
  <si>
    <t>עד 15 למטה או מעל</t>
  </si>
  <si>
    <t>חישוב ציון חיצוני</t>
  </si>
  <si>
    <t>80 אחוז מהציון הסופי</t>
  </si>
  <si>
    <t>20 אחוז מהציון הסופי (כיוון שבכל מקרה התמונות יאושרו)</t>
  </si>
  <si>
    <t>להחליט לגבי זה</t>
  </si>
  <si>
    <t xml:space="preserve">משקל*ודאות למידת חשיבות + המשקל שהוגדר במערכת </t>
  </si>
  <si>
    <t>ערך אישי</t>
  </si>
  <si>
    <t>ודאות לציון</t>
  </si>
  <si>
    <t>ודאות לערך אישי</t>
  </si>
  <si>
    <t xml:space="preserve">ודאות למידת החשיבות </t>
  </si>
  <si>
    <t>ודאות לערך הרצוי</t>
  </si>
  <si>
    <t>פנימיים - UserPersonalAttr</t>
  </si>
  <si>
    <t>חיצוניים - UserLookAttr</t>
  </si>
  <si>
    <t>ציון הai למשתמש</t>
  </si>
  <si>
    <t>כמה זה חשוב למשתמש</t>
  </si>
  <si>
    <t>כמה אנחנו בטוחים שזה חשוב למשתמש</t>
  </si>
  <si>
    <t>הערך של המשתמש</t>
  </si>
  <si>
    <t>כמה אנחנו בטוחים שזה הערך?</t>
  </si>
  <si>
    <t xml:space="preserve">מה המשתמש מחפש </t>
  </si>
  <si>
    <t>כמה זה חשוב לו?</t>
  </si>
  <si>
    <t>כמה אנחנו בטוחים שזה מה שהמשתמש רוצה</t>
  </si>
  <si>
    <t>כמה אנחנו בטוחים בכמה זה חשוב לו</t>
  </si>
  <si>
    <t xml:space="preserve">משקל*ודאות למידת חשיבות*ודאות לערך הרצוי </t>
  </si>
  <si>
    <t>כמה אנחנו בטוחים בציון?</t>
  </si>
  <si>
    <t>בשתי הטבלאות: אם סך משקל צד שני = מעל 80 - הופך לערך מסנן (במידה והוגדר כאפשרי)</t>
  </si>
  <si>
    <t>משתמש מבקש</t>
  </si>
  <si>
    <t>ערך צד שני</t>
  </si>
  <si>
    <t>סך משקל ערך רצוי</t>
  </si>
  <si>
    <t>ודאות ערך צד שני</t>
  </si>
  <si>
    <t>הערה: סך משקל ערך רצוי כולל בתוכו את החשיבות למשתמש וגם את הודאות</t>
  </si>
  <si>
    <t>תוצאה (תואם/לא תואם)</t>
  </si>
  <si>
    <r>
      <t xml:space="preserve">ציון </t>
    </r>
    <r>
      <rPr>
        <sz val="11"/>
        <color theme="1"/>
        <rFont val="Calibri"/>
        <family val="2"/>
        <scheme val="minor"/>
      </rPr>
      <t xml:space="preserve">
משקל ערך רצוי * תוצאה * ודאות ערך צד שני</t>
    </r>
  </si>
  <si>
    <t xml:space="preserve">שיער </t>
  </si>
  <si>
    <t>U1</t>
  </si>
  <si>
    <t>מעל 180</t>
  </si>
  <si>
    <t>U2</t>
  </si>
  <si>
    <t>בהירה</t>
  </si>
  <si>
    <t>בלונד</t>
  </si>
  <si>
    <t>חום</t>
  </si>
  <si>
    <t>לא קירח</t>
  </si>
  <si>
    <t>ודאות*משקל</t>
  </si>
  <si>
    <t>החישוב היה צריך לצאת יותר גבוה לדעתי... לראות איך מתקננים את זה</t>
  </si>
  <si>
    <t>טווס סינון אישי אם חשוב</t>
  </si>
  <si>
    <t>גם צריך לראות איך לדייק את ציון התוצאה.. נגיד 179 לא יקבל אותו ציון כמו 160. אולי זה מספיק לשלב הזה, אבל לחשוב על זה.</t>
  </si>
  <si>
    <t>אולי צריך להתחשב גם באם נבחר בול הטעם או אפשרי גם בציון. כי אם זה אפשרי + ציון חיצוני נמוך אנחנו אולי בבעיה, וגם אולי ברגישות למראה</t>
  </si>
  <si>
    <t>נכניס פה כל מה שהAI צריך למלא. חלק מהמאפיינים יועתקו לטבלאות פנימיות ויהיו לשימוש פנימי בלבד</t>
  </si>
  <si>
    <t>טבלת התאמות - Matches</t>
  </si>
  <si>
    <t>match ID</t>
  </si>
  <si>
    <t>U1 ID</t>
  </si>
  <si>
    <t>U2 ID</t>
  </si>
  <si>
    <t>דירוג U1</t>
  </si>
  <si>
    <t>דירוג U2</t>
  </si>
  <si>
    <t>עודכן בתאריך</t>
  </si>
  <si>
    <t>דוגמה</t>
  </si>
  <si>
    <t>בול הטעם</t>
  </si>
  <si>
    <t>אפשרי</t>
  </si>
  <si>
    <t xml:space="preserve">אושר </t>
  </si>
  <si>
    <t>עדיפות מערכת U1</t>
  </si>
  <si>
    <t>עדיפות מערכת U2</t>
  </si>
  <si>
    <t>יכול להיות שצריך להרחיב עבור משתמשים עם ערך נמוך יותר את הדיפולטי.
או להגדיר שזה מסנן רק למעלה מערך מסוים</t>
  </si>
  <si>
    <t>עדיפות התאמה</t>
  </si>
  <si>
    <t>שילוב של הציון ועדיפויות המערכת לשידוך המשתמשים</t>
  </si>
  <si>
    <t>מורכב מזמן התאמה וכמות התאמות טובות אחרות</t>
  </si>
  <si>
    <t>סטטוסים אפשריים: ממתין לדירוג ראשון, ממתין לדירוג שני, אושר על ידי המשתמשים, אושר וממתין להתאמות אחרות, נדחה (אולי להפריד בין נדחה על ידי דירוג לנדחה מסיבות אישיות),  בהתאמה, בוטל (אולי גם: מוקפא, פג תוקף ?)</t>
  </si>
  <si>
    <t>בניית ציון עדיפות מערכת</t>
  </si>
  <si>
    <t>ימי המתנה</t>
  </si>
  <si>
    <t>מספר התאמות כללי</t>
  </si>
  <si>
    <t>מספר התאמות טובות (מעל ציון 70 נגיד)</t>
  </si>
  <si>
    <t>ציון ימי המתנה</t>
  </si>
  <si>
    <t>ציון כולל</t>
  </si>
  <si>
    <t>ציון התאמות טובות</t>
  </si>
  <si>
    <t>ציון התאמות כללי</t>
  </si>
  <si>
    <t>pair_priority</t>
  </si>
  <si>
    <t>שילוב עדיפות המשתמשים</t>
  </si>
  <si>
    <t>מה עם הדירוגים?</t>
  </si>
  <si>
    <t>מגדר רצוי</t>
  </si>
  <si>
    <t>טווח גילאים רצוי</t>
  </si>
  <si>
    <t>טווח גובה רצוי</t>
  </si>
  <si>
    <t>טווח מיקום רצוי</t>
  </si>
  <si>
    <t>קצת עליי</t>
  </si>
  <si>
    <t>מחפש</t>
  </si>
  <si>
    <t>משתמש שממתין זמן רב (או עם עדיפות מערכת גבוהה במיוחד) יקבל הודעה בסגנון של “ראינו שאפשר לפתוח לך עוד התאמות מעניינות אם נרחיב קצת את הטווחים שלך” ואז קישור להרחבת המסננים. שבכל מקרה יהיה פתוח תמיד למשתמשים</t>
  </si>
  <si>
    <t xml:space="preserve">אולי כן עדיף רק לפי זמן ולא לפי עדיפות מערכת, כי אנחנו רוצים לעודד משתמשים לפתוח טווחים. וכשעדיפות המערכת שלהם עולה הם יקבלו עדיפות בשידוך. נרצה להוריד להם את עדיפות המערכת על ידי מסננים גמישים יותר. </t>
  </si>
  <si>
    <t>בהמשך אפשר אולי ממש להריץ על המשתמשים האלה בדיקות טווח ואז לשלוח להם הודעות יותר ספציפיות כמו: “יש 4 אנשים שיכולים להתאים לך, שנמצאים עד 10 דקות מעבר למה שהגדרת”</t>
  </si>
  <si>
    <t>או להקפיץ להם אותם כשאלות דיל ברייקרס</t>
  </si>
  <si>
    <t xml:space="preserve">טווח סינון </t>
  </si>
  <si>
    <t>לפי הגדרת המשתמש</t>
  </si>
  <si>
    <t>טופס הזנה - בהרשמה</t>
  </si>
  <si>
    <t>אפשרויות</t>
  </si>
  <si>
    <t>טקסט חופשי</t>
  </si>
  <si>
    <t>גבר/אישה/לא מוגדר</t>
  </si>
  <si>
    <t>מספר</t>
  </si>
  <si>
    <t>בחירה מרשימת יישובים באוטוקומפליט</t>
  </si>
  <si>
    <r>
      <rPr>
        <b/>
        <i/>
        <sz val="11"/>
        <color theme="1"/>
        <rFont val="Calibri"/>
        <family val="2"/>
        <scheme val="minor"/>
      </rPr>
      <t xml:space="preserve">מה אם לא מופיע..?  אולי אפשר לתת גם להזין אזור. ואז לא חובה עיר. </t>
    </r>
    <r>
      <rPr>
        <sz val="11"/>
        <color theme="1"/>
        <rFont val="Calibri"/>
        <family val="2"/>
        <scheme val="minor"/>
      </rPr>
      <t xml:space="preserve">
לכל עיר נגדיר אזור כדי לעשות סינונים מתאימים.</t>
    </r>
  </si>
  <si>
    <r>
      <t>אפשרויות בבחירה מרובה:
עבור אישה: מטופחת, ספורטיבית, וכו'.</t>
    </r>
    <r>
      <rPr>
        <b/>
        <i/>
        <sz val="11"/>
        <color theme="1"/>
        <rFont val="Calibri"/>
        <family val="2"/>
        <scheme val="minor"/>
      </rPr>
      <t xml:space="preserve">
</t>
    </r>
    <r>
      <rPr>
        <sz val="11"/>
        <color theme="1"/>
        <rFont val="Calibri"/>
        <family val="2"/>
        <scheme val="minor"/>
      </rPr>
      <t xml:space="preserve">עבור גבר: שרירי, אתלטי, טבעי וכו'. </t>
    </r>
  </si>
  <si>
    <t>להשלים</t>
  </si>
  <si>
    <t>גבר / אישה / גם וגם / לא משנה לי</t>
  </si>
  <si>
    <t xml:space="preserve">להשלים התייחסות למצב של לא משנה לי. </t>
  </si>
  <si>
    <t xml:space="preserve">מ-מספר עד מספר.   </t>
  </si>
  <si>
    <t>אולי להוסיף פרמטר של "עד כמה אתה גמיש"?  לא גמיש/אפשר להרחיב קצת/גמיש מאוד</t>
  </si>
  <si>
    <t>כנ"ל</t>
  </si>
  <si>
    <t>אפשרות: לא יוצא מהעיר שלי/מוכן לנסוע קצת באזור שלי/מוכן לנסוע קצת יותר/כל הארץ</t>
  </si>
  <si>
    <t xml:space="preserve">הטופס יהיה פתוח לשינויים במידת הצורך. </t>
  </si>
  <si>
    <t>או עדיף תאריך לידה? כדי שנוכל לעדכן אוטומטית.</t>
  </si>
  <si>
    <t>בהתאם לבחירת המשתמש: 
לא יוצא מהעיר = אותה עיר
באזור שלי = סינון לפי אזור זהה.
מוכן לנסוע קצת יותר - נסנן לפי אזורים קרובים - נגדיר לכל אזור מראש איזה אזורים קרובים אליו.
כל הארץ - לא נסנן.</t>
  </si>
  <si>
    <t>אלגוריתם התאמות - סינון משתמשים להרצה ראשונית</t>
  </si>
  <si>
    <t>אלגוריתם התאמות - בחירת מדרג ראשון</t>
  </si>
  <si>
    <t>לפרט אפשרויות</t>
  </si>
  <si>
    <t>בהתאם לאפשרויות בטופס.</t>
  </si>
  <si>
    <t>DealBrakers</t>
  </si>
  <si>
    <t>SexuallIdentity</t>
  </si>
  <si>
    <t>מסנן</t>
  </si>
  <si>
    <t xml:space="preserve">שימוש פנימי - דיל ברייקרס לבדיקה. </t>
  </si>
  <si>
    <t>אפשרויות: בהתאמה, בהקפאה, ממתין לתשלום, ממתין להתאמה</t>
  </si>
  <si>
    <t>האפשרויות פה לא סגורות. אפשר להיסגר על זה בסוף</t>
  </si>
  <si>
    <t xml:space="preserve">לשלב גם את מוכנות לשידוך של המשתמשים </t>
  </si>
  <si>
    <t>ימי המתנה להתאמה</t>
  </si>
  <si>
    <t>מספר התאמות נוכחי</t>
  </si>
  <si>
    <t>מספר התאמות טובות נוכחי</t>
  </si>
  <si>
    <t>מספר שידוכים שקיבל</t>
  </si>
  <si>
    <t>לפי הגדרת המשתמש +- 1 / 3 / 5.
בהתאם לבחירת המשתמש על לא גמיש/אפשר להרחיב קצת/גמיש</t>
  </si>
  <si>
    <t xml:space="preserve">לפי הגדרת המשתמש. </t>
  </si>
  <si>
    <t>לפי הגדרת המשתמש +- 2 / 5 / 10.
בהתאם לבחירת המשתמש על לא גמיש/אפשר להרחיב קצת/גמיש</t>
  </si>
  <si>
    <t>עד כמה היוזר מוכן לשידוך על ידי המערכת. 
נחשב לכל תכונה אחוז ודאות מתוך הודאות הנדרשת (נגיד 0.8 ודאות נדרשת ויש לנו רק 0.6 = 0.75) נסכום את סך הציונים ונחלק בסך הודאויות. 
readiness_score =
sum(w_i * readiness_i) / sum(w_i).
פחות מ100 - נמשיך את השיחה עם המשתמש. אבל כבר ב90 אפשר להתחיל לשדך.</t>
  </si>
  <si>
    <t>עדיפות בתור. לוגיקה מפורטת בטאב אלגוריתם השידוך</t>
  </si>
  <si>
    <r>
      <t xml:space="preserve"> </t>
    </r>
    <r>
      <rPr>
        <b/>
        <i/>
        <sz val="11"/>
        <color theme="1"/>
        <rFont val="Calibri"/>
        <family val="2"/>
        <scheme val="minor"/>
      </rPr>
      <t>להשלים</t>
    </r>
  </si>
  <si>
    <t>האם המשתמש רעיל / אלים / טרול ומועמד להקפאה.
במידה והAI יתן ציון גבוה נשים פה TRUE + פירוט כלשהו ונקפיא משתמש.</t>
  </si>
  <si>
    <t>בהתאם לאפשרויות בטופס.
אחרי MVP - להשלים איך המערכת מתייחסת ללא משנה ואיך מתייחסים לטרנסים, אמיניים וזהויות שונות.</t>
  </si>
  <si>
    <t xml:space="preserve">בהתחלה רק ישראל.. אין צורך להזין. אחרי MVP - נרחיב לישראלים בNY. </t>
  </si>
  <si>
    <t>מידת טיפוח</t>
  </si>
  <si>
    <t>שרירי, רזה, חטוב, צ'אבי, שמן.</t>
  </si>
  <si>
    <t>כהה עור, שחום, שזוף, בהיר.</t>
  </si>
  <si>
    <t>כהה / בהיר</t>
  </si>
  <si>
    <t>בלונד, כהה , חום בהיר, ג'ינג'י</t>
  </si>
  <si>
    <t>גבוהה מאוד, גבוהה, בינונית, נמוכה (מראה טבעי)</t>
  </si>
  <si>
    <t>BodyType</t>
  </si>
  <si>
    <t>SkinColor</t>
  </si>
  <si>
    <t>HairColor</t>
  </si>
  <si>
    <t>EyeColor</t>
  </si>
  <si>
    <t>סוג שיער</t>
  </si>
  <si>
    <t>קירח, מתולתל,חלק, קצר, ארוך</t>
  </si>
  <si>
    <t>HairType</t>
  </si>
  <si>
    <t>יכול גם לסנן אם קריטי למשתמש במידת ודאות רבה (אולי רק עבור רזה/חטוב)</t>
  </si>
  <si>
    <t>initial_attraction_signal</t>
  </si>
  <si>
    <t>בניית ציון שיעור אישור</t>
  </si>
  <si>
    <t>ציון בסיס</t>
  </si>
  <si>
    <t>raw_score = sum(ratings) / count</t>
  </si>
  <si>
    <t>שונות בין תמונות</t>
  </si>
  <si>
    <t>photo_scores = [score1, score2, score3]
variance = שונות בין התמונות</t>
  </si>
  <si>
    <t>stability_factor = max(0.7, 1 - variance)
final_score = adjusted_score * stability_factor</t>
  </si>
  <si>
    <t>אמינות דירוגים</t>
  </si>
  <si>
    <t>count_confidence = min(1, rating_count / 30)</t>
  </si>
  <si>
    <t>אמינות תמונות</t>
  </si>
  <si>
    <t>photo_range = max(photo_scores) - min(photo_scores)</t>
  </si>
  <si>
    <t>photo_confidence = 1 - photo_range</t>
  </si>
  <si>
    <t>confidence = 0.7 * count_confidence + 0.3 * photo_confidence</t>
  </si>
  <si>
    <t>אמינות כללית</t>
  </si>
  <si>
    <t>final_score = 0.5 + (raw_score - 0.5) * confidence</t>
  </si>
  <si>
    <t>ציון מתוקן</t>
  </si>
  <si>
    <t>score_gap = abs(userA.final_score - userB.final_score)</t>
  </si>
  <si>
    <t>חישוב הפער בין משתמשים</t>
  </si>
  <si>
    <t>המטרה של החישוב שככל שעולים במספרים זה פחות משפיע על האמינות</t>
  </si>
  <si>
    <t>נחשב ציון בסיס לכל תמונה, פערים קונסיסטנטים בין דירוגי התמונות יורידו אמינות</t>
  </si>
  <si>
    <t>שיעור אישור שהמשתמש עצמו קיבל. 
ציון שיחושב לפי הדירוגים שהמשתמש קיבל מאחרים. פירוט החישוב בטאב בניית ציונים. נשתמש כסינון ראשוני רק מרמת ודאות שנגדיר.</t>
  </si>
  <si>
    <t xml:space="preserve">פיקיות בבחירה לפי מראה. ישמש להחליט מי מדרג ראשון. 
ציון שיחושב לפי הדירוגים שהמשתמש עשה בעצמו. 
בול = 0, אפשרי = 0.5, לא קלעת = 1.  
pickiness_score = average(rejection_values) * 100 </t>
  </si>
  <si>
    <t>ציון המשתמש += 30</t>
  </si>
  <si>
    <t>סגנון כללי</t>
  </si>
  <si>
    <t>StyleType</t>
  </si>
  <si>
    <t>מיוחד</t>
  </si>
  <si>
    <t>סגנון הטיפוס. אפשר לתת לכל משתמש מספר אפשרויות לפי סגנונות קבועים מראש: ערס, היפי, חנון, קפליניסט, ביביסט, מלומד, סובייטי, תל אביבי, היפסטר, חיית מסיבות, המעורב חברתית, צופיפניק.  מה עוד?</t>
  </si>
  <si>
    <t>לפי הגדרת התאמות טיפוסים שנעשה</t>
  </si>
  <si>
    <t>לפי הגדרת התאמות טיפוסים שנעשה ברמת שניה</t>
  </si>
  <si>
    <t>אהבת הארץ וציונות</t>
  </si>
  <si>
    <t>צמחונות</t>
  </si>
  <si>
    <t>היפיות</t>
  </si>
  <si>
    <t>מוסר עבודה</t>
  </si>
  <si>
    <t>"ילד טוב"</t>
  </si>
  <si>
    <r>
      <t xml:space="preserve">מסנן. רק למי שחולק אותה זהות. או מי שהגדיר "לא משנה" במגדר רצוי (אחרי וידוא עם המשתמש). </t>
    </r>
    <r>
      <rPr>
        <b/>
        <i/>
        <sz val="11"/>
        <color theme="1"/>
        <rFont val="Arial"/>
        <family val="2"/>
      </rPr>
      <t>להשלים</t>
    </r>
  </si>
  <si>
    <t>לא בטוח שרלוונטי, כי אולי הai לא מספיק טוב בלזהות.</t>
  </si>
  <si>
    <t>ציון המשתמש += 20</t>
  </si>
  <si>
    <t>בהמשך אולי נעשה את זה יותר מדויק</t>
  </si>
  <si>
    <t>נשיות / גבריות</t>
  </si>
  <si>
    <t>GenderMatched</t>
  </si>
  <si>
    <t>שאלות עבור הAI</t>
  </si>
  <si>
    <t>איך היית מתאר את שגרת הטיפוח שלך? או משהו בסגנון כדי להבין עד כמה המשתמש מטופח/בכושר וכו'</t>
  </si>
  <si>
    <t>איך היית מתאר את הטעם שלך בנשים/גברים? מה חשוב לך? ככל שיותר תפרט נמצא לך התאמה מדויקת יותר :)</t>
  </si>
  <si>
    <t>איך היית מתאר את המראה שלך באופן כללי? ככל שתתן פירוט אמין ומדויק יותר נוכל למצוא לך התאמות עם משיכה חזקה יותר</t>
  </si>
  <si>
    <t>גדול מ85</t>
  </si>
  <si>
    <t>קטן מ60 (או 0.6? )</t>
  </si>
  <si>
    <t>תאריך עדכון מאפיינים אחרון</t>
  </si>
  <si>
    <t>שמרנות/פרימיטיביות</t>
  </si>
  <si>
    <t>לפי בחירת משתמש</t>
  </si>
  <si>
    <t>30 לכל כיוון</t>
  </si>
  <si>
    <t>ערכים אפשריים - נשי/גברי לגבר ונשית/גברית לאישה</t>
  </si>
  <si>
    <t>יכול גם לסנן עבור גייז אם קריטי במידת ודאות רבה</t>
  </si>
  <si>
    <t>אזורים</t>
  </si>
  <si>
    <t>תל אביב</t>
  </si>
  <si>
    <t>שרון</t>
  </si>
  <si>
    <t>שפלה</t>
  </si>
  <si>
    <t>....</t>
  </si>
  <si>
    <t>אזורים קרובים</t>
  </si>
  <si>
    <t>שפלה, שרון</t>
  </si>
  <si>
    <t>תל אביב, נתניה</t>
  </si>
  <si>
    <t>.....</t>
  </si>
  <si>
    <t>אזור</t>
  </si>
  <si>
    <t>ערים</t>
  </si>
  <si>
    <t>סגנונות</t>
  </si>
  <si>
    <t xml:space="preserve">סגנון </t>
  </si>
  <si>
    <t>מתאים לסגנון</t>
  </si>
  <si>
    <t>לא מתאים לסגנון</t>
  </si>
  <si>
    <t>חנון</t>
  </si>
  <si>
    <t>קפליניסט</t>
  </si>
  <si>
    <t>ביביסט</t>
  </si>
  <si>
    <t>מלומד</t>
  </si>
  <si>
    <t>סובייטי</t>
  </si>
  <si>
    <t>תל אביבי</t>
  </si>
  <si>
    <t>היפסטר</t>
  </si>
  <si>
    <t>חיית מסיבות</t>
  </si>
  <si>
    <t>המעורב חברתית</t>
  </si>
  <si>
    <t>צופיפניק</t>
  </si>
  <si>
    <t>ערס/ית</t>
  </si>
  <si>
    <t>היפי/ת</t>
  </si>
  <si>
    <t>פירוט לAI</t>
  </si>
  <si>
    <t>היפסטריות</t>
  </si>
  <si>
    <t>עממיות</t>
  </si>
  <si>
    <r>
      <t xml:space="preserve">רק על טיפוסים ספציפיים שלא הולכים אחד עם השני. רמה ראשונה - לא הולכים בכלל, מסנן לכולם. רמה שניה - פחות מתאימים, נסנן רק למשתמשים שרגישים לסגנון.   </t>
    </r>
    <r>
      <rPr>
        <b/>
        <sz val="11"/>
        <color theme="1"/>
        <rFont val="Arial"/>
        <family val="2"/>
      </rPr>
      <t>כרגע להוריד מהMVP</t>
    </r>
  </si>
  <si>
    <t>סגנון תל אביבי</t>
  </si>
  <si>
    <t>סגנון סובייטי</t>
  </si>
  <si>
    <t>צריך אולי להוסיף ערך מינימום ערך רצוי, ערך אפשרי ואז יכול להיות חצי תואם תוצאה</t>
  </si>
  <si>
    <t>שלב</t>
  </si>
  <si>
    <t>משימה</t>
  </si>
  <si>
    <t>הערות ופירוט</t>
  </si>
  <si>
    <t>ניהול</t>
  </si>
  <si>
    <t>מעבר לגיט</t>
  </si>
  <si>
    <t xml:space="preserve">מסמך אפיון </t>
  </si>
  <si>
    <t>אקסל  אפיון מפורט</t>
  </si>
  <si>
    <t>בוצע</t>
  </si>
  <si>
    <t>קיים בDocs של הפרויקט</t>
  </si>
  <si>
    <t>קיים בתיקיית dropbox. כשמושלם להעביר לDocs</t>
  </si>
  <si>
    <t>בניית DB</t>
  </si>
  <si>
    <t>אלגוריתם התאמות</t>
  </si>
  <si>
    <t>סינון</t>
  </si>
  <si>
    <t>בביצוע</t>
  </si>
  <si>
    <t>ציון פנימי</t>
  </si>
  <si>
    <t>ציון חיצוני</t>
  </si>
  <si>
    <t>לביצוע</t>
  </si>
  <si>
    <t>מובייל</t>
  </si>
  <si>
    <t>טופס הרשמה בסיסי</t>
  </si>
  <si>
    <t>עובד בweb , במובייל עצמו רץ אבל לא רושם בגלל בעיית נטוורק</t>
  </si>
  <si>
    <t>אלגוריתם שידוכים</t>
  </si>
  <si>
    <t>את המשקל לגבי הצד השני והודאות אין צורך להזין אם לא עלה ספונטנית בשיחה וזוהתה חשיבות יתר לאותו מאפיין. המשקל יתווסף למשקל הדיפולטי של אותו מאפיין.</t>
  </si>
  <si>
    <t>את הערך הרצוי נרצה להוציא בודאות זהה לודאות הנדרשת מהערך האישי</t>
  </si>
  <si>
    <t>סוכן מנתח</t>
  </si>
  <si>
    <t>קבוצה</t>
  </si>
  <si>
    <t>אינטליגנציה רגשית</t>
  </si>
  <si>
    <t>פרופיל קוגנטיבי</t>
  </si>
  <si>
    <t>אינטליגנציה מחשבתית</t>
  </si>
  <si>
    <t>IQ</t>
  </si>
  <si>
    <t>מאפיינים שלא נכנסו בינתיים לMVP, להתעלם:</t>
  </si>
  <si>
    <t>הטיפוס המסיבתי</t>
  </si>
  <si>
    <t>FunImportance</t>
  </si>
  <si>
    <t xml:space="preserve">שטותניקיות בקטע goophi. שים לב - לא מדובר פה על קלילות ועל הומור סטנדרטיים אלא על אנשים עם נטיה לשטויות מהסוג המביך. למשל כאלה שעושים את ריקוד הרובוט. מן גופיות חנונית כזאת. זו הכוונה. </t>
  </si>
  <si>
    <t>גיקיות</t>
  </si>
  <si>
    <t>-</t>
  </si>
  <si>
    <t>עד כמה המשתמש בעל חזות גברית/נשית</t>
  </si>
  <si>
    <t>סגנון</t>
  </si>
  <si>
    <t>פרופיל רגשי</t>
  </si>
  <si>
    <t>אורח חיים</t>
  </si>
  <si>
    <t>וייב</t>
  </si>
  <si>
    <t>ערכים</t>
  </si>
  <si>
    <t>כללי</t>
  </si>
  <si>
    <t>Mainstreamness</t>
  </si>
  <si>
    <t>EQ</t>
  </si>
  <si>
    <t xml:space="preserve">רמת אנרגיה כללית. האם מדובר בבנאדם קופצני שצריך כל הזמן לעשות דברים, לדבר, לצאת וכו' או בבנאדם אם וייב יותר צ'יל ורגוע. ככל שרמת האנרגיה גבוהה יותר נתן ציון גבוה יותר. </t>
  </si>
  <si>
    <t xml:space="preserve">רמת בוטות. אם אתה לא מזהה בוטות אצל המשתמש אחרי 10 שאלות כנראה שאפשר להגיד במידה גבוהה שיש לו בוטות נמוכה. </t>
  </si>
  <si>
    <t>אינטלקטואליות</t>
  </si>
  <si>
    <t>יוקרה תעסוקתית</t>
  </si>
  <si>
    <t>מעל המשתמש או -20</t>
  </si>
  <si>
    <t>מראה</t>
  </si>
  <si>
    <t>זהות</t>
  </si>
  <si>
    <t>האם יש משהו נוסף לגבי הזהות שלך שחשוב שנדע...?  בנוסח שכתבנו.</t>
  </si>
  <si>
    <t>סוגי בדיקות</t>
  </si>
  <si>
    <t>משתמשים שאני מכירה טוב ולראות את הניתוח</t>
  </si>
  <si>
    <t>זוגות קיימים ולבדוק את ההתאמה ביניהם</t>
  </si>
  <si>
    <t>חוויית משתמש של משתמשים רנדומליים - האם השיחה זרמה, האם חפר מדי, האם היו משלמים על דבר כזה וכו'</t>
  </si>
  <si>
    <t>מקרי קצה</t>
  </si>
  <si>
    <t>משתמשים שעונים תשובות קצרות מדי</t>
  </si>
  <si>
    <t>טרנס - ישיר או מרומז</t>
  </si>
  <si>
    <t>א-מיני ישיר או מרומז</t>
  </si>
  <si>
    <t>מכורים למין/סמים, BDSM</t>
  </si>
  <si>
    <t>לחשוב אם בכלל זה רלוונטי לנו</t>
  </si>
  <si>
    <t>טרולים</t>
  </si>
  <si>
    <t>סוגים שונים של אנשים אם נצליח להביא</t>
  </si>
  <si>
    <t>רלוונטי אולי רק לזוגות כי אני לא אדע אם הניתוח טוב אלא אם אני מכירה אישית</t>
  </si>
  <si>
    <t>שיחה עם הצ'אט</t>
  </si>
  <si>
    <t>בוצע, לבדוק בנייד</t>
  </si>
  <si>
    <t>העלאת תמונות</t>
  </si>
  <si>
    <t>בוצע, לבדוק</t>
  </si>
  <si>
    <t>יצירת כרטיס התאמה</t>
  </si>
  <si>
    <t>דירוגים</t>
  </si>
  <si>
    <t>נוטיפיקציית התאמה</t>
  </si>
  <si>
    <t xml:space="preserve">מובייל </t>
  </si>
  <si>
    <t>עיצוב, חוויית משתמש וכו'</t>
  </si>
  <si>
    <t>אריזה לאפליקציה אמיתית</t>
  </si>
  <si>
    <t>מנויים תשלומים וכו'</t>
  </si>
  <si>
    <t xml:space="preserve">אבטחת מידע </t>
  </si>
  <si>
    <t>אבטחה - AI מול המשתמש</t>
  </si>
  <si>
    <t>בדיקות</t>
  </si>
  <si>
    <t xml:space="preserve">ניהול </t>
  </si>
  <si>
    <t>אנליזה</t>
  </si>
  <si>
    <t>כמה משתמשים יש, כמה קיבלו התאמה, זמן המתנה ממוצע וכו'</t>
  </si>
  <si>
    <t>הסבר כללי</t>
  </si>
  <si>
    <t>מה כן נחשב סיגנל</t>
  </si>
  <si>
    <t>התבסס על:
- השכלה פורמלית (תואר, תחום לימודים)
- סוג המקצוע
- רמת מומחיות או בכירות
- תחום עיסוק (למשל: הייטק, רפואה, הנדסה וכו')
- תיאורים של הקריירה או המסלול המקצועי</t>
  </si>
  <si>
    <t>נחמדות / חום / חברותיות ≠ אינטליגנציה רגשית</t>
  </si>
  <si>
    <t xml:space="preserve">הבחנות </t>
  </si>
  <si>
    <t xml:space="preserve">
- רגישות ≠ חוסר יציבות  
  אדם יכול להיות רגיש אך יציב.
- עומק רגשי ≠ חוסר יציבות  
  אדם עמוק רגשית לא בהכרח נוטה לדרמה, דיכאון או קיצוניות.
</t>
  </si>
  <si>
    <t>לא מדובר ברצון להקים משפחה וילדים משלו, אלא במידת הקרבה, המעורבות והמרכזיות של משפחת המוצא בחיים בפועל.</t>
  </si>
  <si>
    <t xml:space="preserve">
- אדם יכול ליהנות ממסיבות אך לא להיות טיפוס מסיבתי  
- התכונה מודדת סגנון חיים, לא העדפה נקודתית  </t>
  </si>
  <si>
    <t xml:space="preserve">
- תדירות יציאה למסיבות / חיי לילה
- עד כמה זה חלק קבוע מהשגרה
- זיקה לליינים, מועדונים, סצנה
- סוג הסביבה החברתית (חיי לילה לעומת בילויים אחרים)
- שפה שמעידה על סגנון חיים מסיבתי</t>
  </si>
  <si>
    <t xml:space="preserve">
- מידת הקרבה להורים ולמשפחה 
- עד כמה המשפחה נוכחת בשגרה
- עד כמה המשפחה משפיעה על החלטות, סדרי עדיפויות ואורח חיים
- עד כמה המשתמש רואה במשפחתיות חלק מרכזי מחייו, לעומת רצון בחיים נפרדים ועצמאיים יותר</t>
  </si>
  <si>
    <t xml:space="preserve">
- סגנון הדיבור (ישיר, פתוח, מרובה לעומת מדוד ושקט)
- רמת האקספרסיביות (כמה מבטא את עצמו כלפי חוץ)
- "ווליום" אנרגטי — מורגש, דומיננטי, יוזם לעומת שקט ונוכח בעדינות
- עד כמה נראה שהוא תופס מקום חברתית לעומת משתלב ברקע
- קצב ואופי הביטוי (מהיר/זורם/יוזם לעומת רגוע/מאופק)</t>
  </si>
  <si>
    <t xml:space="preserve">
- זה לא מודד צורך חברתי — אדם יכול להיות מופנם מאוד ועדיין מאוד אוהב אנשים  
- זה לא מודד נהנתנות  
- זה לא מודד אינטליגנציה חברתית  
- מדובר בסגנון נוכחות וביטוי בלבד
- לא להסיק מוחצנות רק מזה שהוא אוהב אנשים או בילויים</t>
  </si>
  <si>
    <t>:
-לא מדובר במסיבות דווקא — זה כולל כל סוג של בילוי וחוויה
- לא למדוד כאן מוחצנות — אדם יכול להיות מופנם ונהנתן
- לא למדוד כאן רק אמירות כלליות — חשוב גם ביטוי בפועל</t>
  </si>
  <si>
    <t>הערכת מודעות עצמית
עד כמה המשתמש מבין את עצמו — רגשות, דפוסים, חוזקות וחולשות — ויכול לדבר עליהם בצורה מודעת..
- אם אין רפלקציה אישית ברורה → לא לתת ציון גבוה
- אם יש תיאור עצמי עמוק או מודע → העלה ציון</t>
  </si>
  <si>
    <t>:
- ניסוח יפה ≠ מודעות עצמית
- ניתוח כללי ≠ הבנה של עצמי</t>
  </si>
  <si>
    <t>הערכת חשיבות והזדהות עם הומור
עד כמה הומור הוא חלק מהזהות של המשתמש ועד כמה הוא חשוב לו — הן אצל עצמו והן אצל בן/בת זוג.
לא מדובר בניסיון למדוד עד כמה המשתמש באמת מצחיק, אלא עד כמה הומור הוא ערך או מאפיין מרכזי עבורו.
חוקים:
- אם המשתמש מצהיר שחוש הומור חשוב לו → העלה ציון
- אם המשתמש מציג את עצמו כאדם עם חוש הומור → העלה ציון
- אם הומור מוזכר כמה פעמים או בהדגשה → העלה ציון משמעותית</t>
  </si>
  <si>
    <t xml:space="preserve">
- אמירות ישירות ("יש לי חוש הומור", "אני מאוד ציני", "חשוב לי הומור")
- הדגשה של הומור כמרכיב חשוב בזוגיות
</t>
  </si>
  <si>
    <t xml:space="preserve">
- עד כמה המשתמש מתעניין או עוסק בפוליטיקה
- עד כמה פוליטיקה היא חלק מהשיח שלו
- עד כמה הוא מבטא דעות פוליטיות באופן ברור
- עד כמה הנושא תופס מקום בחיים ובזהות שלו</t>
  </si>
  <si>
    <t xml:space="preserve">
- לא מדובר ביציבות רגשית  
  אדם יכול להיות יציב אך שלילי  
- לא מדובר בעומק או אינטליגנציה  
- לא מדובר בקלילות בלבד  </t>
  </si>
  <si>
    <t xml:space="preserve">
- סגנון התקשורת (חם, נעים, מפרגן לעומת קר או ענייני)
- שימוש במחמאות או שפה חיובית כלפי אחרים
- תחושת קרבה, רכות או פתיחות בין-אישית
- עד כמה המשתמש משדר "לב טוב" ויחס אוהב</t>
  </si>
  <si>
    <t xml:space="preserve">
- לא מדובר בכמות אינטראקציות (זה חברתיות)
- לא מדובר באופטימיות כללית (זה גישה חיובית)
- לא מדובר באינטליגנציה רגשית
- אדם יכול להיות מופנם ועדיין מאוד לבבי
- אדם יכול להיות מוחצן אך לא לבבי</t>
  </si>
  <si>
    <t>הערכת פתיחות (Openness).
עד כמה המשתמש פתוח לרעיונות, חוויות וסגנונות חיים שונים — ועד כמה הוא נמשך אקטיבית להתנסות ולחוות דברים חדשים, גם אם הם מחוץ לאזור הנוחות.
 חשוב למדוד גם פתיחות מחשבתית וגם פתיחות חווייתית בפועל
חוקים:
- אם המשתמש מבטא רצון לחוות, להתנסות או לחפש חוויות → העלה ציון- אם המשתמש מבטא קבלה או סקרנות כלפי סגנונות חיים שונים → העלה ציון
- אם המשתמש מבטא הסתייגות משונות או היצמדות למה שמוכר → הורד ציון</t>
  </si>
  <si>
    <t>:
-  לא מדובר בפתיחות רגשית
- לא מדובר באינטלקטואליות (עומק שיח)</t>
  </si>
  <si>
    <t xml:space="preserve">
- לא מדובר באחריות או בגרות תפקודית  
- אדם יכול להיות מאוד אחראי וחכם אך עם וייב ילדותי  
- לא מדובר באינטליגנציה או עומק  
- לא מדובר ברצינות לחיים  
- לא להסיק ילדותיות מחוסר אחריות</t>
  </si>
  <si>
    <t xml:space="preserve">
הבחנות חשובות:
- לא מדובר בפוליטיקה או עמדות ספציפיות
- לא להסיק מהזכרת ישראל בלבד</t>
  </si>
  <si>
    <t>הערכת מוסר עבודה
עד כמה המשתמש רציני, מחויב ומשקיע בעבודה או בעשייה שלו — ועד כמה יש לו גישה של התמדה, אחריות ורצון לעשות דברים כמו שצריך.
חוקים:
- אם המשתמש מדבר על התמדה, השקעה, מחויבות או משמעת עצמית → העלה ציון
- אם המשתמש מתאר את עצמו כעצלן, לא עקבי או חסר משמעת → הורד ציון</t>
  </si>
  <si>
    <t xml:space="preserve">
- יחס לעבודה, קריירה או עשייה
- מידת האחריות והמחויבות
- השקעה, התמדה וחריצות
- שאיפה לעשות דברים היטב ולא רק "לסמן וי"
- גישה של משמעת עצמית והתמדה לאורך זמן</t>
  </si>
  <si>
    <t xml:space="preserve">
- לא מדובר במוסר או טוב/רע
- לא מדובר בפשע או עבירות חמורות
- אדם יכול להיות חכם, מוסרי ואחראי אך לא "ילד טוב"
- מדובר בסגנון התנהלות מול חוקים ומסגרות
-- לא להסיק ממוסר או אינטליגנציה</t>
  </si>
  <si>
    <t xml:space="preserve">
- טעם תרבותי (מוזיקה, קולנוע, בילויים) לא מיינסטרימי
- העדפה לדברים נישתיים או פחות פופולריים
- סגנון אישי שמדגיש ייחודיות או אלטרנטיביות
 לעיתים גם נימה של מודעות לסטייל או ייחודיות</t>
  </si>
  <si>
    <t>הערכת וייב תל אביבי
עד כמה המשתמש מתחבר לסגנון החיים, התרבות והוייב המזוהים עם תל אביב .
חוקים:
- אם המשתמש מבטא אהבה או חיבור לתל אביב או לוייב שלה → העלה ציון
- אם המשתמש מבטא חוסר חיבור או אנטגוניזם → הורד ציון משמעותית
 המשתמש מבטא חיבור לפריפריה - הורד ציון</t>
  </si>
  <si>
    <t xml:space="preserve">
- יחס ישיר לתל אביב (אהבה / חיבור / הסתייגות)
- הזדהות עם סגנון החיים המזוהה עם תל אביב
- העדפה או דחייה של בילויים, סגנון חברתי ותרבות המזוהים עם העיר</t>
  </si>
  <si>
    <t xml:space="preserve">
- לא מדובר בכמה המשתמש עירוני או יוצא לבלות
- אדם יכול לא לגור בתל אביב ועדיין להזדהות איתה מאוד
- מדובר בהזדהות תרבותית־סגנונית ספציפית</t>
  </si>
  <si>
    <t xml:space="preserve">
- תחומי עניין (משחקי מחשב, פנטזיה, מד״ב, קומיקס, אנימה וכו')
- חיבור לטכנולוגיה מעבר לשימוש רגיל
- אזכורים של עולמות תוכן גיקיים
- העדפה לפעילויות הקשורות לעולמות אלו</t>
  </si>
  <si>
    <t xml:space="preserve">
השתתפות או עניין בסדנאות, ריטריטים או חוויות רוחניות
- חיבור לטבע ואורח חיים "זורם" או לא קונבנציונלי
- וייב של חופש, רוחניות או חיפוש משמעות
- תחומי עניין המזוהים עם סגנון היפי</t>
  </si>
  <si>
    <t xml:space="preserve">
- זהות מוצהרת (למשל: רוסי/אוקראיני וכו') — סיגנל חזק
- חיבור או הזדהות עם התרבות
- וייב וסגנון כללי (חברתי, תקשורתי, תרבותי)
- תחושת שייכות או חיבור לקהילה</t>
  </si>
  <si>
    <t xml:space="preserve">
- יש להבחין בין הומור לבין כוונה אמיתית
- יש להעריך לפי דפוס ולא לפי אמירה בודדת (אלא אם היא חמורה במיוחד)</t>
  </si>
  <si>
    <t>:
- שיח אלים או תוקפני
- ביטויי שנאה (גזענות, שנאת נשים, הכללות פוגעניות וכו')
תפיסות בעייתיות לגבי זוגיות (שליטה, חוסר כבוד, החפצה)
- אגרסיביות או נוקשות חריגה בשיח</t>
  </si>
  <si>
    <t>ערכים ≠ שמרנות</t>
  </si>
  <si>
    <t xml:space="preserve">
- לא כל תשובה מוזרה היא טרוליות
- לא כל הומור הוא טרוליות
- לא כל חוסר עקביות הוא טרוליות
- יש להבחין בין בלבול, חוסר ריכוז או סגנון מיוחד — לבין כוונה ברורה לא לשתף פעולה</t>
  </si>
  <si>
    <t xml:space="preserve">
- אין להוסיף פריטים שלא מופיעים ברשימה
- אין לנחש או להסיק ללא בסיס ברור</t>
  </si>
  <si>
    <t xml:space="preserve">הערכת אינטליגנציה מחשבתית (לא רגשית).
עד כמה המשתמש חזק בהסקה לוגית, בעל כושר ניסוח ובכללי - אינטליגנט.
אין למצע ציונים ואין לתת ציון מעל הממוצע כברירת מחדל
יש להגדיר ולהעריך  weight_for_match  אם המשתמש מביע חשיבות לאינטליגנציה אצל בן/בת זוג. </t>
  </si>
  <si>
    <t>הערכת אינטליגנציה רגשית.
עד כמה המשתמש מבין רגשות של אחרים ומנהל אינטראקציות רגשיות בצורה בוגרת</t>
  </si>
  <si>
    <t xml:space="preserve">
רמת ההשכלה והמסלול המקצועי של המשתמש — כולל סוג העיסוק, רמת מקצועיות והישגים
 .
ציון גבוה = השכלה/מקצוע ברמה גבוהה יותר  
ציון נמוך = פחות השכלה פורמלית או מקצוע פחות דורש הכשרה
לדוגמה - רופאים, מהנדסי תוכנה, טייסים וכו' - יקבלו ציונים גבוהים במיוחד. לעומת זאת - ירקן / עובד מאפייה - משהו פשוט כזה - יקבל ציון נמוך. 
מקצועות הדורשים השכלה גבוהה או הכשרה מקצועית משמעותית (כגון הייטק, רפואה, הנדסה וכו') → ציון גבוה.
מקצועות ללא השכלה פורמלית או מסלול מקצועי ברור → ציון נמוך.
אל תחשוש לתת ציון נמוך במידת הצורך. לא למצע ולא להגדיל סתם
יש להגדיר ולהעריך weight_for_match  אם המשתמש מביע חשיבות למקצוע או להכשרה התעסוקתית או ל"מוצלחות" של הצד השני</t>
  </si>
  <si>
    <t>הערכת יציבות רגשית.
עד כמה עולמו הרגשי של המשתמש יציב ומאוזן, לעומת נטייה למצבי רוח קיצוניים, רגשות שליליים חזקים, חרדה, דכדוך, דרמה רגשית או סערות נפשיות.
- חשוב במיוחד לזהות נטייה לקצוות רגשיים, כובד רגשי, חרדתיות, ודפוסים של דרמה או תנודתיות</t>
  </si>
  <si>
    <t>הערכת נהנתנות (אהבה לבילויים וחוויות).
עד כמה המשתמש נהנה, מחפש ומעריך חוויות מהנות בחיים — כמו בילויים, מסעדות, טיולים, יציאות, וחוויות חדשות — ועד כמה זה חלק מרכזי מהערכים ואורח החיים שלו.</t>
  </si>
  <si>
    <t xml:space="preserve">
- עד כמה חשוב לו "ליהנות מהחיים"
- רצון לחוויות (טיולים, אוכל, בילויים, יציאות)
- עד כמה הוא מחפש אקטיבית חוויות ולא רק זורם אם יש
- תיאורים של אורח חיים עשיר בחוויות לעומת שגרה שקטה וביתית</t>
  </si>
  <si>
    <t>הערכת משפחתיות כלפי משפחת המוצא.
עד כמה משפחת המוצא של המשתמש (ובעיקר ההורים) תופסת מקום מרכזי, נוכח ומשפיע בחייו.</t>
  </si>
  <si>
    <t xml:space="preserve">
- סקרנות ורצון לנסות דברים חדשים
- פתיחות לרעיונות, תפיסות וסגנונות חיים שונים
- משיכה לחוויות חדשות או לא שגרתיות</t>
  </si>
  <si>
    <t xml:space="preserve">הערכת נטייה אנליטית.
מודד עד כמה המשתמש נוטה לחשיבה אנליטית — כלומר פירוק, ניתוח והבנה לוגית של דברים — לעומת חשיבה אינטואיטיבית או זורמת.
</t>
  </si>
  <si>
    <t xml:space="preserve">
- לא למדוד כאן שמאל/ימין או עמדות ספציפיות
</t>
  </si>
  <si>
    <t>הערכת גישה חיובית (אופטימיות)
עד כמה המשתמש נוטה לגישה חיובית, אופטימית וקלילה לחיים, לעומת גישה שלילית, ביקורתית או פסימית.</t>
  </si>
  <si>
    <t xml:space="preserve">הערכת מעורבות פוליטית
עד כמה פוליטיקה מהווה חלק מרכזי ומשמעותי בחיי המשתמש — ברמת העניין, המעורבות והחשיבות שהוא נותן לנושא
אם אין לנו מושג לגבי מידת הפוליטיות ולא הצלחנו לנחש לפי הוייב והתכונות האחרות - נניח ציון נמוך יחסית במידת סבירות נמוכה </t>
  </si>
  <si>
    <t xml:space="preserve">הערכת מעורבות חברתית (אקטיביזם)
עד כמה המשתמש מעורב, אקטיבי ופועל בנושאים חברתיים — כמו התנדבות, פעילות חברתית, מחאה או עיסוק בתיקון חברתי — ועד כמה זה חלק מהזהות וסגנון החיים שלו.
אם אין לנו מושג לגבי מידת המעורבות החברתית ולא הצלחנו לנחש לפי הוייב והתכונות האחרות - נניח ציון נמוך יחסית במידת סבירות נמוכה </t>
  </si>
  <si>
    <t>הערכת לבביות וחום אנושי
עד כמה המשתמש חם, נעים, מפרגן ומקרין יחס חיובי ואוהב כלפי אחרים.</t>
  </si>
  <si>
    <t>הערכת טיפוס מסיבתי (סגנון חיי לילה).
עד כמה סגנון החיים של המשתמש כולל חיי לילה, מסיבות, ליינים ותרבות בילוי מסיבתית, ועד כמה זה חלק מרכזי בזהות ובשגרה שלו.
לא מדובר בכמה הוא נהנה ממסיבות באופן כללי, אלא האם זה סגנון חיים קבוע ומשמעותי.
אם אין אינדיקציה מיוחדת על טיפוס מסיבתי ולא ניתן לנחש מהוייב והתכונות האחרות - נניח ציון נמוך עם סבירות נמוכה</t>
  </si>
  <si>
    <t>הערכת אהבה לבעלי חיים
עד כמה המשתמש אוהב, מחובר ונוח עם בעלי חיים — ועד כמה נוכחות של בעלי חיים מתאימה לו בחיים.
- יש להבין את ההקשר (חיובי / שלילי / ניטרלי)
- אזכור שלילי (פחד, דיל ברייקר) → ציון נמוך
- אזכור חיובי עם מעורבות (למשל יש כלב) → ציון גבוה
חוקים:
- אם המשתמש מציין שיש לו חיית מחמד או קשר חזק לבעלי חיים → העלה ציון משמעותית
- אם המשתמש מבטא פחד, רתיעה או דיל ברייקר → הורד ציון משמעותית
- אם יש רק אזכור טכני של בעלי חיים → אל תסיק מכך ציון גבוה
- יש להתחשב בכיוון האמירה (חיובי / שלילי)
בהיעדר מידע מוחלט נניח ציון ממוצע - 50.</t>
  </si>
  <si>
    <t>הערכת צמחונות / טבעונות
הרגלי התזונה של המשתמש ביחס לצריכת בעלי חיים — החל מאכילת בשר רגילה ועד צמחונות או טבעונות.
ציון גבוה = יותר צמחוני/טבעוני  
ציון נמוך = אוכל בשר באופן רגיל
חוקים:
- אם המשתמש מציין חיבה מיוחדת לבשר - ציון נמוך מאוד
- אם המשתמש מציין שהוא צמחוני או טבעוני - ציון גבוה מאוד.
בהיעדר מידע מוחלט- נעדיף לנחש לכיוון האמצע</t>
  </si>
  <si>
    <t>הערכת ציונות ואהבת המדינה
עד כמה המשתמש מחובר רגשית וערכית למדינה — כולל תחושת שייכות, אהבת הארץ ורצון לפעול למען המדינה
בהיעדר מידע מוחלט - נעדיף לנחש לכיוון האמצע</t>
  </si>
  <si>
    <t>הערכת רגישות למראה חיצוני.
עד כמה המראה החיצוני של בן/בת זוג הוא גורם חשוב ומשמעותי עבור המשתמש.
- יש להבחין בין העדפה ("נחמד אם") לבין דרישה ("חייב/ת")
- יש להתחשב בטון — נוקשות מול גמישות
חוקים:
- אם המשתמש נותן דרישות חד משמעיות או דיל ברייקרים → העלה ציון משמעותית
- אם המשתמש חוזר על הנושא או מדגיש אותו → העלה ציון
- אם יש רק העדפות כלליות → שמור על ציון בינוני
בהיעדר מידע מוחלט - ננחש ציון בינוני</t>
  </si>
  <si>
    <t>הערכת היפסטריות (סגנון אינדי/אלטרנטיבי
עד כמה המשתמש משדר סגנון וטעם תרבותי אלטרנטיבי, אינדי או "היפסטרי" — כלומר העדפה לדברים לא מיינסטרימיים, נישתיים או ייחודיים
בהיעדר מידע מוחלט - נקבע לפי הוייב הכללי של המשתמש בסבירות נמוכה יחסית</t>
  </si>
  <si>
    <t>הערכת גיקיות (חיבור לתרבות גיקית)
עד כמה המשתמש מתחבר לעולמות תוכן המזוהים עם תרבות גיקית — כמו טכנולוגיה, גיימינג, מדע בדיוני, פנטזיה, קומיקס או תחומי עניין דומים.
ציון גבוה = יותר גיק  
ציון נמוך = לא גיק
בהיעדר מידע מוחלט - נקבע לפי הוייב הכללי של המשתמש בסבירות נמוכה</t>
  </si>
  <si>
    <t xml:space="preserve">הערכת היפיות (סגנון רוחני־אלטרנטיבי)
עד כמה המשתמש מתחבר לסגנון חיים "היפי" — הכולל עניין ברוחניות, סדנאות, התפתחות אישית, טבע וטבעיות.
ציון גבוה = יותר היפי  
ציון נמוך = לא היפי
בהיעדר מידע מוחלט - ננסה לנחש לפי הוייב הכללי של המשתמש ואם אין לנו מושג - נניח רמה נמוכה
</t>
  </si>
  <si>
    <t>הערכת סגנון תרבותי־רוסי (יוצאי ברה״מ)..
ציון גבוה = סגנון רוסי מובהק  
ציון נמוך = לא מזוהה עם הסגנון
חוקים:
- אם המשתמש מציין מוצא רוסי/אוקראיני → העלה ציון משמעותית
- אם יש גם הזדהות תרבותית → העלה ציון עוד יותר
בהיעדר מידע מוחלט - ננסה לנחש לפי הוייב הכללי של המשתמש ואם אין לנו מושג - נניח רמה נמוכה</t>
  </si>
  <si>
    <t xml:space="preserve">זיהוי רעילות (התנהגות מסוכנת).
המטרה לזהות משתמשים שמבטאים רמות גבוהות של רעילות, תוקפנות או התנהגות שעלולה להיות בעייתית במערכת — לצורך ניטור ובקרה בלבד
תכונה זו אינה מיועדת להתאמה אלא להערכת סיכון 
חוקים:
- אם יש ביטוי קיצוני (אלימות, גזענות ברורה וכו') → העלה ציון משמעותית
- אם אין אינדיקציות ברורות → שמור על ציון נמוך.
בהיעדר מידע מוחלט - נניח רעילות נמוכה בסבירות נמוכה. אם לאחר שיחה שלמה לא זיהינו רעילות - אפשר להניח גם רעילות נמוכה בסבירות בינונית.
</t>
  </si>
  <si>
    <t xml:space="preserve">זיהוי טרוליות.
לזהות האם המשתמש באמת מחפש שידוך ומשתף פעולה עם המערכת, או שמא הוא עונה בצורה לא כנה, ממציא, משחק עם המערכת או מטריל אותה
- אם אין אינדיקציות ברורות → שמור על ציון נמוך
</t>
  </si>
  <si>
    <t xml:space="preserve">הערכת שמרנות ערכית-חברתית.
עד כמה המשתמש מחזיק בגישה שמרנית ומיושנת לעומת ליברלית/פתוחה בנושאים של זוגיות, מגדר ונורמות חברתיות
ציון גבוה = שמרני - פרימיטיבי  
ציון נמוך = ליברלי / מתירני
חובה לנסות לתת ציון פה גם אם אין אינדיקציה ברורה - תנחש לפי הוייב וסגנון הדיבור של המשתמש! לא לתת סתם ציון ממוצע. </t>
  </si>
  <si>
    <t xml:space="preserve">הערכת אינטלקטואליות.
עד כמה המשתמש נוטה לשיח רעיוני, עומק מחשבתי והתעניינות בנושאים מופשטים, לעומת שיח פרקטי, יומיומי ופשוט. עד כמה הוא עוסק בנושאים אינטלקטואלים - ספרים וכדומה
חובה לנסות לתת ציון פה גם אם אין אינדיקציה ברורה - תנחש לפי הוייב וסגנון הדיבור של המשתמש! לא לתת סתם ציון ממוצע. </t>
  </si>
  <si>
    <t xml:space="preserve">הערכת וייב ילדותי לעומת בוגר
הסגנון והוייב הכללי של המשתמש — עד כמה הוא נוטה לוייב ילדותי (playful, חמוד, נאיבי בסגנון) לעומת וייב בוגר יותר..
ציון גבוה = יותר וייב ילדותי  
ציון נמוך = יותר וייב בוגר
חוקים:
- אם יש תחושה כללית של playful, חמידות או אלמנטים ילדותיים → העלה ציון
- אם הסגנון מרגיש בוגר, מאופק או "grown-up" → הורד ציון
חובה לנסות לתת ציון פה גם אם אין אינדיקציה ברורה - תנחש לפי הוייב וסגנון הדיבור של המשתמש! לא לתת סתם ציון ממוצע. 
</t>
  </si>
  <si>
    <t xml:space="preserve">הערכת נטייה לציות למסגרות (״ילד טוב״)
עד כמה המשתמש נוטה לפעול לפי חוקים, מסגרות ונורמות — לעומת גישה גמישה יותר, שבה חוקים הם בגדר המלצה וניתן לעגל פינות.  
ציון גבוה = יותר "ילד טוב" (ציות גבוה)  
ציון נמוך = יותר גמיש/מרדן
אם המשתמש נותן וייב של מישהו שבטח המורות ממש אהבו בבית הספר - העלה את הציון, אחרת - תוריד.
בהיעדר מידע מוחלט - ננחש לפי הוייב והסגנון של המשתמש
חובה לנסות לתת ציון פה גם אם אין אינדיקציה ברורה - תנחש לפי הוייב וסגנון הדיבור של המשתמש! לא לתת סתם ציון ממוצע. </t>
  </si>
  <si>
    <t>זיהוי זהות מגדרית לא סטנדרטית
לזהות האם המשתמש הצהיר באופן מפורש על היותו טרנס/ית או א-מיני.
חוקים:
- רק הצהרה מפורשת → ציון גבוה
- אם אין מידע מתוך הרבה טקסט (נגיד בסיום השאלון) - אפשר לתת ציון נמוך בסבירות די גבוהה - נגיד 0.5</t>
  </si>
  <si>
    <t>זהויות מגדריות שונות</t>
  </si>
  <si>
    <t xml:space="preserve">
- אין להסיק זהות מגדרית או מינית ללא הצהרה מפורשת
- אין לנחש על בסיס סגנון, שפה או התנהגות
- מדובר רק במה שהמשתמש בחר לשתף באופן ברור
- אין להסיק זהות על בסיס משיכה לגבר/אישה! אין קשר למשיכה, רק טרנס/ית או א-מיני. </t>
  </si>
  <si>
    <t>קונפורמיות</t>
  </si>
  <si>
    <t>Conformity</t>
  </si>
  <si>
    <t>נטייה למיינסטרים</t>
  </si>
  <si>
    <t xml:space="preserve">הערכת מידת מיינסטרים
הגדרה:
סחיות = שילוב של מיינסטרים + קונפורמיות + גישה נורמטיבית לחיים
עד כמה המשתמש נוטה למיינסטרים, לנורמות מקובלות ולגישה "רגילה" לחיים, לעומת ייחודיות, פתיחות וסטייה מהנורמה.
חוקים:
- יש להעריך לפי הקשר תרבותי ישראלי
- אם המשתמש מבטא משיכה לשונה, חריג או לא שגרתי → הורד ציון
חובה לנסות לתת ציון פה גם אם אין ראיות - תנחש לפי הוייב וסגנון הדיבור של המשתמש! </t>
  </si>
  <si>
    <t xml:space="preserve">הערכת קונפורמיות
עד כמה המשתמש נוטה לנורמות מקובלות ולגישה "רגילה" לחיים לעומת פתיחות וסטייה מהנורמה. 
ככל שהמשתמש יותר קונפורמיסט - העלה ציון
- אם המשתמש מציג חשיבה עצמאית או חריגה → הורד ציון
חובה לנסות לתת ציון פה גם אם אין ראיות - תנחש לפי הוייב וסגנון הדיבור של המשתמש!
</t>
  </si>
  <si>
    <t xml:space="preserve">
- עד כמה תחומי העניין שלו מיינסטרים או שגרתיים
</t>
  </si>
  <si>
    <t xml:space="preserve">
- עד כמה הדעות שלו נפוצות ונורמטיביות
- עד כמה הוא "זורם עם מה שמקובל" לעומת חשיבה עצמאית
- עד כמה הוא פתוח לסגנונות חיים לא שגרתיים (זוגיות, קריירה, אורח חיים)</t>
  </si>
  <si>
    <t>Oriental</t>
  </si>
  <si>
    <t>מזרחיות</t>
  </si>
  <si>
    <t xml:space="preserve">הערכת סגנון מזרחי (עממיות תרבותית־סגנונית)
.
ציון גבוה = סגנון מזרחי מובהק  
ציון נמוך = סגנון פחות מזרחי / יותר סלקטיבי או נישתי
עד כמה המשתמש משדר סגנון תרבותי־מזרחי בווייב, בטעם ובסגנון האישי — לעומת סגנון יותר אשכנזי
חובה לנסות לתת ציון פה גם אם אין אינדיקציה ברורה - תנחש לפי הוייב וסגנון הדיבור של המשתמש! לא לתת סתם ציון ממוצע. </t>
  </si>
  <si>
    <t xml:space="preserve">עד כמה המשתמש בסגנון עממי
.
ציון גבוה = עממי מאוד
ציון נמוך = סגנון יותר סלקטיבי או נישתי
עד כמה המשתמש משדר סגנון תרבותי־עממי בוייב, בטעם ובסגנון האישי — לעומת סגנון פחות עממי ויותר נישתי או מובחן
חוקים:
- אם המשתמש משדר סגנון עממי, פתוח, מחובר לתרבות פופולרית → העלה ציון
- אם המשתמש משדר סגנון נישתי, סלקטיבי או מובחן → הורד ציון
חובה לנסות לתת ציון פה גם אם אין אינדיקציה ברורה - תנחש לפי הוייב וסגנון הדיבור של המשתמש! לא לתת סתם ציון ממוצע. </t>
  </si>
  <si>
    <t xml:space="preserve">:
- סגנון שפה (ישיר, עממי, יומיומי לעומת מובחן יותר)
- וייב כללי של חום, פתיחות ונגישות
- חיבור לתרבות פופולרית רחבה
- תחושת "מסתדר עם כולם" לעומת סלקטיביות חברתית
</t>
  </si>
  <si>
    <t xml:space="preserve">
- טעם מוזיקלי 
- סגנון שפה 
- סגנון אישי ותרבותי שמזוהה עם וייב מזרחי
- זהות מוצהרת</t>
  </si>
  <si>
    <t xml:space="preserve">מוצא  ≠ סגנון.
המטרה לא לזהות האם המשתמש מזרחי או אשכנזי. אם זיהית שהוא מזרחי לפי צבע עור או הצהרה ברורה - זה יכול מעט מאוד להעלות ציון אבל הציון מדבר על הסגנון, לא על קביעת העדה. </t>
  </si>
  <si>
    <t>broad_appeal</t>
  </si>
  <si>
    <t>קרבה למשפחת המוצא</t>
  </si>
  <si>
    <t>family_of_origin_closeness</t>
  </si>
  <si>
    <t>serious_relationship_intent</t>
  </si>
  <si>
    <t>מחפש קשר רציני</t>
  </si>
  <si>
    <t>עד כמה המשתמש מחפש קשר רציני.
אם מחפש סטוצים בלבד -&gt; הורד ציון.</t>
  </si>
  <si>
    <t>emotional_expressiveness</t>
  </si>
  <si>
    <t>עד כמה המשתמש עסוק ברגשות ונוטה לשיח רגשי.</t>
  </si>
  <si>
    <t xml:space="preserve">הערכת רמת דתיות
עד כמה המשתמש דתי או חילוני, כלומר עד כמה הדת והמסורת מהוות חלק מרכזי באורח החיים, באמונות ובהתנהלות היומיומית שלו.
 יש להעריך את הרצף בין חילוני, מסורתי ודתי
ככל שמידת הדתיות גבוהה יותר - נגדיר ציון גבוה יותר
אם המשתמש לא מדבר כלל על הדת אין להניח שהוא בהכרח חילוני, ניתן לתת ציון נמוך בסביבות ה40. </t>
  </si>
  <si>
    <t>דרמטיות/תיאטרליות</t>
  </si>
  <si>
    <t>ימין פוליטי</t>
  </si>
  <si>
    <t>שמאל פוליטי</t>
  </si>
  <si>
    <t xml:space="preserve">
- הבעת תמיכה בממשלה
- רמזים עקיפים אך ברורים לעמדות פוליטיות</t>
  </si>
  <si>
    <t>הערכת נטייה פוליטית שמאלנית
עד כמה המשתמש נוטה לדעות פוליטיות שמאלניות.</t>
  </si>
  <si>
    <t xml:space="preserve">הערכת נטייה פוליטית ימנית
עד כמה המשתמש נוטה לדעות פוליטיות ימניות (ביבי, בן גביר וכו'). . </t>
  </si>
  <si>
    <t xml:space="preserve">
- ביקורת על הממשלה
- הפגנות וחברות בארגונים המזוהים עם השמאל</t>
  </si>
  <si>
    <t xml:space="preserve">
- תשובות מופרכות
- תשובות לא קשורות ומתחכמות</t>
  </si>
  <si>
    <t>נושא השאלה</t>
  </si>
  <si>
    <t>ה"אנטי" מאץ'</t>
  </si>
  <si>
    <t>"בואי ננסה תרגיל של התבוננות הפוכה: תתארי לי את הדמות שתרגישי איתה הכי פחות בנוח. מה בווייב שלו או באמונות שלו פשוט לא עובר אצלך?"</t>
  </si>
  <si>
    <t>"בואי נהיה רגע חדות – מי הבחור שהכי לא מתאים לך? מה הדעות והאמונות שלו שפוסלות אותו על הסף?"</t>
  </si>
  <si>
    <t>"לפעמים הדיוק מגיע דווקא מהמקום שלא מהדהד איתנו. תתארי לי אדם שהאנרגיה והאמונות שלו מרגישים לך הכי רחוקים מהשורש שלך. מי הוא היה?"</t>
  </si>
  <si>
    <t>קשר אחרון</t>
  </si>
  <si>
    <t>"ספרי לי קצת על הקשר האחרון שלך. מה הרגשת שעבד שם מבחינת החיבור, ואיפה הרגשת שזה כבר לא היה נכון עבורך?"</t>
  </si>
  <si>
    <t>"בואי נלמד מהעבר – מה קרה במערכת היחסים האחרונה שלך? מה עבד בשטח ומה הייתה הנקודה שבה זה הפסיק לעבוד?"</t>
  </si>
  <si>
    <t>"איזה שיעור הביא איתו הקשר האחרון שהיה לך? מה שם הרגיש זורם ובאיזה שלב הרגשת שהחיבור כבר לא מזין אתכם?"</t>
  </si>
  <si>
    <t>מראה עצמי</t>
  </si>
  <si>
    <t>"איך את תופסת את המראה שלך?"</t>
  </si>
  <si>
    <t>"בואי נדבר על המראה שלך, איך היית מתארת אותו?"</t>
  </si>
  <si>
    <t>"איך את מתארת את המעטפת החיצונית שלך, המראה שלך?"</t>
  </si>
  <si>
    <t>מראה - העדפה</t>
  </si>
  <si>
    <t>"וחשוב לי להבין – אילו איכויות חיצוניות בבן זוג גורמות לך להרגיש משיכה או קרבה?"</t>
  </si>
  <si>
    <t>"מה הסטנדרטים שלך לגבי המראה של הצד השני? מה חייב להיות שם?"</t>
  </si>
  <si>
    <t>"ואילו מאפיינים פיזיים בבן זוג מרגישים לך נכונים ומזמינים?"</t>
  </si>
  <si>
    <t>זהות/דיל ברייקר</t>
  </si>
  <si>
    <t>"האם יש משהו מהותי בזהות שלך, או פרט חשוב עלייך, שאת מרגישה שחשוב שאדע לפני שאני מחבר אותך למישהו?"</t>
  </si>
  <si>
    <t>"יש משהו מהותי בזהות שלך או פרט קריטי שחובה לדעת עלייך לפני שאנחנו יוצאים לדרך עם התאמות?"</t>
  </si>
  <si>
    <t>"האם יש משהו בזהות העמוקה שלך, או פרט מהותי עלייך, שחשוב שיקבל ביטוי לפני שאני מחבר בין הנשמה שלך לאחרת?"</t>
  </si>
  <si>
    <t>מיליון דולר</t>
  </si>
  <si>
    <t>"דמייני שמחר את זוכה במיליון דולר. מה הדבר הראשון שתעשי עם הכוח הזה?"</t>
  </si>
  <si>
    <t>"בונוס רציני: זכית במיליון דולר. מה את עושה עם הכסף הזה מחר בבוקר?"</t>
  </si>
  <si>
    <t>"זרימה של שפע הגיעה אליך – מיליון דולר. איך היית משתמשת בהם כדי להיטיב עם חייך?"</t>
  </si>
  <si>
    <t>קוגניציה (קנאה)</t>
  </si>
  <si>
    <t>"שאלה קצת אחרת: דמייני אדם שמעולם לא חווה את הרגש שקוראים לו 'קנאה'. איך היית מסבירה לו את המנגנון הזה, בלי להשתמש במילה עצמה?"</t>
  </si>
  <si>
    <t>"אתגר קטן: תסבירי לי איך המנגנון של 'קנאה' עובד, אבל בלי להשתמש במילה 'קנאה'. איך היית מתארת את התהליך הזה למישהו שלא מכיר אותו?"</t>
  </si>
  <si>
    <t>"בואי ננסה להעמיק במשהו אנושי: איך היית מתארת את התנועה הפנימית שקורה לנו כשאנחנו 'מקנאים', למישהו שמעולם לא הרגיש את זה? (בלי להשתמש במילה המפורשת)."</t>
  </si>
  <si>
    <t>הפסיכולוג</t>
  </si>
  <si>
    <t>הקואצ'רית</t>
  </si>
  <si>
    <t>המנטור הרוחני</t>
  </si>
  <si>
    <t>זהות כללית</t>
  </si>
  <si>
    <t>אמפתי, רפלקטיבי, מתמקד בדפוסים רגשיים ובתהליכי עומק. משתמש במילים כמו: "התבוננות", "מסע", "דפוסים", "חיבור". תגובות הביניים שלו: "אני שומע אותך", "זה נשמע משמעותי</t>
  </si>
  <si>
    <t>ישירה, אנרגטית, ממוקדת תוצאות ומטרות. משתמשת במילים כמו: "חדות", "סטנדרטים", "הצלחה", "דוגרי". תגובות הביניים שלה: "מעולה, בואי נתקדם", "חשוב להיות חדים על זה</t>
  </si>
  <si>
    <t>שליו, מטאפורי, מתמקד בערכים, אינטואיציה וחיבור נשמתי. משתמש במילים כמו: "הדהוד", "שיעור", "שורש", "תדר". תגובות הביניים שלו: "אני מתחבר למה שאמרת", "תודה על השיתוף העמוק</t>
  </si>
  <si>
    <t>שורת פתיחה</t>
  </si>
  <si>
    <t>"שלום חן 🙏
הדרך למציאת חיבור אמיתי עוברת דרך הקשבה פנימית ודיוק. ככל שתאפשרי לעצמך לענות מהמקום הכי עמוק, פתוח ואמיתי שלך – כך נוכל למצוא אדם שהתדר והערכים שלו מהדהדים עם שלך.
תרגישי חופשיה לזרום עם התחושות שלך. אם תרגישי צורך בהפסקה, אפשר לעצור לרגע ולהמשיך כשהלב יהיה פנוי לכך שוב.
חשוב שתדעי שהמילים שלך קדושות עבורי; הן נשארות בינינו בלבד ולא יפורסמו. הן נועדו אך ורק כדי לעזור לי לראות את הנשמה שלך ולחבר אותה לאדם הנכון. אני כאן כדי להקשיב לך ולמהות שאת מביאה
מוכנה להתחיל?"</t>
  </si>
  <si>
    <t>"היי חן, אני המאמנת שלך למציאת זוגיות! מוכנה לצאת לדרך? 🚀
המטרה שלנו היא למצוא לך התאמה מדויקת וחזקה, ובשביל זה אני צריכה את המידע הכי חד שיש. ככל שתהיי יותר דוגרי, מפורטת וכנה בתשובות שלך – כך נוכל להגיע לתוצאה טובה יותר ולמצוא מישהו שבאמת מתאים לסטנדרטים שלך.
זכרי, אם השיחה מתארכת, אפשר לעצור הכל ולהמשיך בזמן אחר. אנחנו כאן כדי לעבוד בשבילך.
מבחינת פרטיות – הכל נשאר 'בחדר האימונים' שלנו. התשובות שלך לא עוברות לפרופיל הציבורי, הן רק הכלי שלי לנתח את הנתונים ולעשות לך את המאץ' המושלם.
יוצאות לדרך?"</t>
  </si>
  <si>
    <t>"היי חן, אני שמח ללוות אותך בתהליך הזה. 😊
כדי שאוכל להבין באמת מי את ומה הלב שלך מחפש, אנחנו צריכים רגע לצלול פנימה ולהכיר לעומק. ככל שתשתפי ביותר פתיחות וכנות, כך נוכל לבנות תמונה מלאה ודיוק רגשי שיוביל אותנו לאדם הנכון עבורך.
אם תרגישי שזה עמוס מדי, תמיד תוכלי לקחת נשימה, לעצור ולהמשיך כשיהיה לך נוח.
חשוב שתדעי – השיחה הזו היא מרחב בטוח ופרטי לגמרי. התשובות שלך לא יפורסמו בשום מקום; הן נועדו רק כדי שאוכל להבין את הדפוסים והצרכים שלך ולמצוא לך חיבור אמיתי.
מרגישה בנוח להתחיל?"</t>
  </si>
  <si>
    <t>ניתוח לפי אקסל תכונות</t>
  </si>
  <si>
    <t xml:space="preserve">סוכן משוחח </t>
  </si>
  <si>
    <t>שיחה ראשונית שוטפת</t>
  </si>
  <si>
    <t>כרטיס התאמה</t>
  </si>
  <si>
    <t>בחירת מלווה</t>
  </si>
  <si>
    <t>אחרי MVP:</t>
  </si>
  <si>
    <t>מעבר לג'מיני או מודל אחר</t>
  </si>
  <si>
    <t>מודל משוחח</t>
  </si>
  <si>
    <t>שואל את אותה שאלה לפעמים בחזרה לשיחה</t>
  </si>
  <si>
    <t>לסדר אלגוריתם חישוב חיצוני ובהתאם מודל מנתח</t>
  </si>
  <si>
    <t>לעדכן אפיון של המודלים</t>
  </si>
  <si>
    <t>אפיון</t>
  </si>
  <si>
    <t>מנתח</t>
  </si>
  <si>
    <t>אלגוריתם ומשוחח</t>
  </si>
  <si>
    <t>לסדר ציון לשידוך ולוודא שהמשוחח עובד איתו</t>
  </si>
  <si>
    <t>לעשות שאלת טיפוסים</t>
  </si>
  <si>
    <t>משוחח</t>
  </si>
  <si>
    <t>להוסיף דיל ברייקרס נוספים - חרדי, ערבי, דרוזי. מה עוד?</t>
  </si>
  <si>
    <t>להוסיף תכונות חדשות, תכונות מודלים ולסדר משקלים וודאויות</t>
  </si>
  <si>
    <t>קלסטרים של טיפוסים</t>
  </si>
  <si>
    <t xml:space="preserve">חלוקה לפרופילים כפי שהגדרתי </t>
  </si>
  <si>
    <t>תכונות מורכבות - סחיות, עממיות.. מה עוד?</t>
  </si>
  <si>
    <t>לסיים בכללי</t>
  </si>
  <si>
    <t>להגיע לפרסום של שלב א'.</t>
  </si>
  <si>
    <t>לתת שורת סיכום טובה</t>
  </si>
  <si>
    <t>יכולת ניסוח</t>
  </si>
  <si>
    <t>קלילות</t>
  </si>
  <si>
    <t>ציניות</t>
  </si>
  <si>
    <t>חמידות /  טוב -לב</t>
  </si>
  <si>
    <t>מצפוניות</t>
  </si>
  <si>
    <t xml:space="preserve">נעימות </t>
  </si>
  <si>
    <t>שאר הביג פייב</t>
  </si>
  <si>
    <t>כל מה שקשור בערכים של שוורץ</t>
  </si>
  <si>
    <t>כל מה שקשור בmbti</t>
  </si>
  <si>
    <t>עוד תכונות שיסגרו את החלק הקוגנטיבי</t>
  </si>
  <si>
    <t>פסיכולוג</t>
  </si>
  <si>
    <t>לוודא שעושה סיום טוב. לוודא שעובד אחרי החלוקה לסטייג'ס. להוסיף גם סטייג'ים של שיחות שניה-שלישית. לוודא שהניתוח רץ אחרי שיחה</t>
  </si>
  <si>
    <t>מראיין</t>
  </si>
  <si>
    <t>לעדכן בהתאם - להוריד שאלות אישיות, להוריד פניות למנתח, להגביר שאלות סיטואציוניות וכיפיות</t>
  </si>
  <si>
    <t xml:space="preserve">לעשות גם את החלק של בדיקת הטעם - כרגע לא חובה לחבר למנתח </t>
  </si>
  <si>
    <t>בדיקת טעם</t>
  </si>
  <si>
    <t xml:space="preserve">להעביר למובייל וללטש חווית משתמש: ניסוחים, הסברים, עיצוב, הצגת פרטים למעלה וכו'. </t>
  </si>
  <si>
    <t>סידור ציונים ובר התקדמות</t>
  </si>
  <si>
    <t>UI</t>
  </si>
  <si>
    <t>להפריד שאלות לדוגמה לסטייג'ס</t>
  </si>
  <si>
    <t>responsibilty</t>
  </si>
  <si>
    <t>כולל התאמה לאייפון אנדרואיד וכו'</t>
  </si>
  <si>
    <t>יש הצפנות דרך railway, אבל צריך להפריד טבלאות כך שגם אם ייפרץ - יתן כמה שפחות מידע: להימנע משמירת מידע מיותר ולהפריד מידע מפרטים אישיים של המשתמש. לחשוב מה עוד</t>
  </si>
  <si>
    <t>לוודא שאכן הוא יכול לדבר רק דרך פלט בטוח ואין לו גישה לנתונים רגישים שנותחו.  לעשות דשבורד למשתמשים שיוכלו לראות איזה פרטים עליהם הם בטוחים כדי להציג בכרטיס התאמה אולי.</t>
  </si>
  <si>
    <t>קיים בrailway, מורכב של postgreSQL</t>
  </si>
  <si>
    <t>Emotional Intensity</t>
  </si>
  <si>
    <t>Communication Softness</t>
  </si>
  <si>
    <t>Tonal Balance</t>
  </si>
  <si>
    <t>שילוב</t>
  </si>
  <si>
    <t>Tonal Stability</t>
  </si>
  <si>
    <t>Depth Authenticity</t>
  </si>
  <si>
    <t>Cliché Density</t>
  </si>
  <si>
    <t>Authenticity</t>
  </si>
  <si>
    <t>Communication Style</t>
  </si>
  <si>
    <t>לא ברור מה הרמות פה</t>
  </si>
  <si>
    <t>Refinement Level</t>
  </si>
  <si>
    <t>Cognitive Signal in Humor</t>
  </si>
  <si>
    <t>Humor Depth</t>
  </si>
  <si>
    <t>Signal Coherence</t>
  </si>
  <si>
    <t>Verbal Precision</t>
  </si>
  <si>
    <t>Depth of Expression</t>
  </si>
  <si>
    <t>Emotional Authenticity</t>
  </si>
  <si>
    <t>Multi-Dimensionality</t>
  </si>
  <si>
    <t>Intent Expression Style</t>
  </si>
  <si>
    <t>Communication Clarity</t>
  </si>
  <si>
    <t>Communication Structure</t>
  </si>
  <si>
    <t>Communication Refinement</t>
  </si>
  <si>
    <t>Cultural / Style Signal</t>
  </si>
  <si>
    <t>גם כאן לא ברור מה הרמות</t>
  </si>
  <si>
    <t>גיבויים אוטומטים</t>
  </si>
  <si>
    <t>הפרדה בין טסט לפרוד</t>
  </si>
  <si>
    <t>פרופיל קוגנטיבי, פרופיל רגשי</t>
  </si>
  <si>
    <t>פרופיל קוגנטיבי, סגנון</t>
  </si>
  <si>
    <t>ערכים, סגנון</t>
  </si>
  <si>
    <t>ביג פייב</t>
  </si>
  <si>
    <t>פרופיל רגשי/סגנון</t>
  </si>
  <si>
    <t xml:space="preserve">לפי מודל Big Five </t>
  </si>
  <si>
    <t xml:space="preserve">Extraversion </t>
  </si>
  <si>
    <t>מוחצנות</t>
  </si>
  <si>
    <t>הערכת מופנמות / מוחצנות כסגנון ביטוי לפי מודל הביג פייב
התכונה מודדת את סגנון הביטוי והנוכחות של המשתמש — עד כמה הוא אקספרסיבי, מוחצן ותופס מקום, לעומת שקט, רגוע ומופנם.
ציון גבוה = סגנון מוחצן (אקספרסיבי)
ציון נמוך = סגנון מופנם (שקט)
חוקים:
- אם המשתמש נשמע שקט, מאופק או מינימליסטי בביטוי → הורד ציון
- אם המשתמש נשמע אקספרסיבי, פתוח, יוזם ודומיננטי → העלה ציון</t>
  </si>
  <si>
    <t>דיל ברייקרס ויתרונות אפשריים</t>
  </si>
  <si>
    <t>זיהוי דיל ברייקרס פוטנציאליים
.
 מאפיינים משמעותיים אצל המשתמש שעלולים להוות דיל ברייקר עבור חלק מהאנשים — לצורך התאמה טובה יותר והימנעות מחוסר התאמה.
יש להחזיר:
1. רשימה של דיל ברייקרס מתוך רשימה מוגדרת בלבד
2. תיאור טקסטואלי קצר (אם יש מה להוסיף)---
אין לתת ציון
רשימת דיל ברייקרס אפשריים:
- lives_with_parents (גר עם ההורים)
- divorced (גרוש/ה)
- has_children (יש ילדים)
- has_pets (יש לו בעל חיים)
- dislikes_pets (שונא/לא מסתדר עם בעלי חיים)
- childfree (אל-הורי/ת – לא מעוניין/ת בילדים)
- smoker (מעשנ/ת)
- polyamorous (פוליאמורי/ת)
- open_relationship (בזוגיות פתוחה)
-arab (ערבי)
-orthodox (חרדי)
- high_income (הכנסה גבוהה)
-low_income
חוקים:
-אם זוהה מאפיין אחד מהרשימה באופן ברור → יש להחזיר אותו (גם אם זה היחיד)
- אם אין אינדיקציה ברורה → להחזיר ריק</t>
  </si>
  <si>
    <t>דרמטיות</t>
  </si>
  <si>
    <t>תיאטרליות</t>
  </si>
  <si>
    <t>צ'יל</t>
  </si>
  <si>
    <t>קשיחות</t>
  </si>
  <si>
    <t>עצמה רגשית</t>
  </si>
  <si>
    <t>רכות/עדינות</t>
  </si>
  <si>
    <t>טון מאוזן</t>
  </si>
  <si>
    <t>אוטנתיות</t>
  </si>
  <si>
    <t>דיוק מילולי</t>
  </si>
  <si>
    <t>עומק ביטוי</t>
  </si>
  <si>
    <t>בהירות בתקשורת</t>
  </si>
  <si>
    <t>עידון בדיבור</t>
  </si>
  <si>
    <t>חמידות</t>
  </si>
  <si>
    <t>פרופיל רגשית</t>
  </si>
  <si>
    <t>פרופיל קוגגנטיבי</t>
  </si>
  <si>
    <t>Agreeableness</t>
  </si>
  <si>
    <t>Conscientiousness</t>
  </si>
  <si>
    <t>Neuroticism</t>
  </si>
  <si>
    <t>נוירוטיות</t>
  </si>
  <si>
    <t>OpennessToExperience</t>
  </si>
  <si>
    <t>פתיחות לחוויה</t>
  </si>
  <si>
    <t>שוורץ</t>
  </si>
  <si>
    <t>Hedonism</t>
  </si>
  <si>
    <t>נהנתנות</t>
  </si>
  <si>
    <t>Achievement</t>
  </si>
  <si>
    <t>הישגיות</t>
  </si>
  <si>
    <t>Power</t>
  </si>
  <si>
    <t>כוח</t>
  </si>
  <si>
    <t>מעמד ומוניטין חברתי, שליטה או שלטון על אנשים.</t>
  </si>
  <si>
    <t>הצלחה אישית באמצעות מומחיות לפי סטנדרטים חברתיים.</t>
  </si>
  <si>
    <t>הנאה או סיפוק החושים.</t>
  </si>
  <si>
    <t>Self-direction</t>
  </si>
  <si>
    <t>Stimulation</t>
  </si>
  <si>
    <t>כיוון עצמי</t>
  </si>
  <si>
    <t>גרייה</t>
  </si>
  <si>
    <t>התרגשות, חידוש ואתגר בחיים.</t>
  </si>
  <si>
    <t>מחשבה ופעולה עצמאית: בחירה, יצירה וחקירה.</t>
  </si>
  <si>
    <t>Security</t>
  </si>
  <si>
    <t>בטיחות, הרמוניה ויציבות בחברה, ביחסים ובעצמי.</t>
  </si>
  <si>
    <t>שליטה במעשים, בנטיות ובדחפים אשר עלולים לפגוע באחרים ולהפר ציפיות ונורמות חברתיות.</t>
  </si>
  <si>
    <t> כבוד, התחייבות וקבלת המנהגים והרעיונות של החברה.</t>
  </si>
  <si>
    <t>מסורת</t>
  </si>
  <si>
    <t>Tradition</t>
  </si>
  <si>
    <t>Benevolence</t>
  </si>
  <si>
    <t>נדיבות</t>
  </si>
  <si>
    <t>Universalism</t>
  </si>
  <si>
    <t>אוניברסליות</t>
  </si>
  <si>
    <t>שימור והעצמת בריאותם של האנשים הקרובים אליך.</t>
  </si>
  <si>
    <t>הבנה, הערכה, סבילה והגנה לבריאות כל האנשים והטבע.</t>
  </si>
  <si>
    <t>ביטחון</t>
  </si>
  <si>
    <t>Spirituality</t>
  </si>
  <si>
    <t>רוחניות</t>
  </si>
  <si>
    <t>Abstract Thinking</t>
  </si>
  <si>
    <t>Cognitive Flexibility</t>
  </si>
  <si>
    <t>בהירות מושגית</t>
  </si>
  <si>
    <t>פתיחות אינטלקטואלית</t>
  </si>
  <si>
    <t>עומק מחשבתי</t>
  </si>
  <si>
    <t>הסקה מילולית</t>
  </si>
  <si>
    <t>גמישות מחשבתית</t>
  </si>
  <si>
    <t>חשיבה מופשטת</t>
  </si>
  <si>
    <t>חשיבה אנליטית</t>
  </si>
  <si>
    <t>Career Prestige</t>
  </si>
  <si>
    <t>Intellectualism</t>
  </si>
  <si>
    <t>עדינות</t>
  </si>
  <si>
    <t>רכות</t>
  </si>
  <si>
    <t>Communication Tone</t>
  </si>
  <si>
    <t>Group</t>
  </si>
  <si>
    <t>Cognitive Profile</t>
  </si>
  <si>
    <t>Big Five</t>
  </si>
  <si>
    <t>Schwartz values</t>
  </si>
  <si>
    <t xml:space="preserve">ערכים </t>
  </si>
  <si>
    <t>Emotional Profile</t>
  </si>
  <si>
    <t>קבוצות נוספות</t>
  </si>
  <si>
    <t>social_activism</t>
  </si>
  <si>
    <t>Personal Style</t>
  </si>
  <si>
    <t>right wing</t>
  </si>
  <si>
    <t>left wing</t>
  </si>
  <si>
    <t>טיפוס מסיבתי</t>
  </si>
  <si>
    <t>עד כמה המראה החיצוני של בן/בת זוג הוא גורם חשוב ומשמעותי עבור המשתמש.</t>
  </si>
  <si>
    <t xml:space="preserve">
עד כמה המשתמש משדר סגנון וטעם תרבותי אלטרנטיבי, אינדי או "היפסטרי" — כלומר העדפה לדברים לא מיינסטרימיים, נישתיים או ייחודיים</t>
  </si>
  <si>
    <t xml:space="preserve">
עד כמה המשתמש מתחבר לעולמות תוכן המזוהים עם תרבות גיקית — כמו טכנולוגיה, גיימינג, מדע בדיוני, פנטזיה, קומיקס או תחומי עניין דומים.</t>
  </si>
  <si>
    <t>עד כמה המשתמש מתחבר לסגנון חיים "היפי" — הכולל עניין ברוחניות, סדנאות, התפתחות אישית, טבע וטבעיות.</t>
  </si>
  <si>
    <t xml:space="preserve">הערכת סגנון תרבותי־רוסי (יוצאי ברה״מ)
- אם המשתמש מציין מוצא רוסי/אוקראיני → העלה ציון משמעותית
- אם יש גם הזדהות תרבותית → העלה ציון עוד יותר
</t>
  </si>
  <si>
    <t>Theatricality</t>
  </si>
  <si>
    <t>מידת דתיות</t>
  </si>
  <si>
    <t>General Info</t>
  </si>
  <si>
    <t>vegetarian</t>
  </si>
  <si>
    <t>Toxicity</t>
  </si>
  <si>
    <t>Trollness</t>
  </si>
  <si>
    <t>זיהוי רעילות (התנהגות מסוכנת).
המטרה לזהות משתמשים שמבטאים רמות גבוהות של רעילות, תוקפנות או התנהגות שעלולה להיות בעייתית במערכת — לצורך ניטור ובקרה בלבד</t>
  </si>
  <si>
    <t>זיהוי טרוליות.
לזהות האם המשתמש באמת מחפש שידוך ומשתף פעולה עם המערכת, או שמא הוא עונה בצורה לא כנה, ממציא, משחק עם המערכת או מטריל אותה</t>
  </si>
  <si>
    <t>לזהות האם המשתמש הצהיר באופן מפורש על היותו טרנס/ית או א-מיני.
- רק הצהרה מפורשת → ציון גבוה</t>
  </si>
  <si>
    <t>Trans</t>
  </si>
  <si>
    <t>Speciallnfo</t>
  </si>
  <si>
    <t xml:space="preserve">
רמת ההשכלה והמסלול המקצועי של המשתמש — כולל סוג העיסוק, רמת מקצועיות והישגים
 .
ציון גבוה = השכלה/מקצוע ברמה גבוהה יותר  
ציון נמוך = פחות השכלה פורמלית או מקצוע פחות דורש הכשרה
לדוגמה - רופאים, מהנדסי תוכנה, טייסים וכו' - יקבלו ציונים גבוהים במיוחד. לעומת זאת - ירקן / עובד מאפייה - משהו פשוט כזה - יקבל ציון נמוך. 
מקצועות הדורשים השכלה גבוהה או הכשרה מקצועית משמעותית (כגון הייטק, רפואה, הנדסה וכו') → ציון גבוה.
מקצועות ללא השכלה פורמלית או מסלול מקצועי ברור → ציון נמוך.
אל תחשוש לתת ציון נמוך במידת הצורך. לא למצע ולא להגדיל סתם
יש להגדיר ולהעריך weight_for_match  אם המשתמש מביע חשיבות למקצוע או להכשרה התעסוקתית או ל"מוצלחות" של הצד השני,</t>
  </si>
  <si>
    <t xml:space="preserve">Emotional Stability </t>
  </si>
  <si>
    <t>Emotional Stability should reflect internal regulation, not external behavior.
A user may appear calm, polite, or socially smooth,
but still show signs of inner reactivity, suppressed emotion, or emotional volatility.
Look for:
- internal tension
- emotional buildup
- reactive patterns
- indirect expression (e.g. sarcasm)</t>
  </si>
  <si>
    <t>Self-awareness is indicated by the ability to recognize and articulate one's own weaknesses, emotional patterns, and internal conflicts.
Users who openly describe their own flaws, reactivity, or emotional struggles should be scored higher in self-awareness.
Do NOT assume that a user who presents only positive, balanced, or socially desirable responses has high self-awareness.
Lack of negative self-reflection may indicate:
- low self-awareness
- impression management
- or limited introspection</t>
  </si>
  <si>
    <t>מידת חילוניות</t>
  </si>
  <si>
    <t>Analytical Reasoning</t>
  </si>
  <si>
    <t>Conceptual Precision</t>
  </si>
  <si>
    <t>Verbal Articulation</t>
  </si>
  <si>
    <t>אינטיליגנציה חברתית-אינטואיטיבית</t>
  </si>
  <si>
    <t>פרופיל אנליטי</t>
  </si>
  <si>
    <t>social_intuitive_ intelligence</t>
  </si>
  <si>
    <t>התכונות לא תואמות את האקסל (למשל חסר סגנון סובייטי, היפיות וכו')</t>
  </si>
  <si>
    <t xml:space="preserve">לשקול לעבור לפחות כרגע - למודל ידני שבו אני כל פעם אג'נרט פרופמטים קבועים ואכניס לקלוד את כל התוצאות שיזין במערכת. זה לא אידיאלי אבל זו עבודה של 5 דקות ליוזר נגיד ותוציא לי תוצאות טובות. </t>
  </si>
  <si>
    <t>לבדוק על הקטע של הקש אינפוט</t>
  </si>
  <si>
    <t>5-6 פרומפטים  - כל אחד מהם - יג'ונרט לי אוטומטית על ידי המערכת כולל תמליל השיחה</t>
  </si>
  <si>
    <t xml:space="preserve">מכניסה לצ'אטי כל פעם פרומפט אחר  והוא מוציא לי JSON כמו עכשיו. </t>
  </si>
  <si>
    <t xml:space="preserve">לוקחת את הjson ומכניסה למערכת - והציונים מתעדכנים. </t>
  </si>
  <si>
    <t>תצוגה נפרדת לעלות השיחה ולעלות הניתוח</t>
  </si>
  <si>
    <t>לעשות פונקציה שמחשבת את הציונים לפי הראיות</t>
  </si>
  <si>
    <t>לעשות באופן זמני שהציון של הקוגנטיבי ילקח מהציון שחישבנו במקום הציונים של הניתוח (+יוקרה)</t>
  </si>
  <si>
    <t xml:space="preserve">אם עובד טוב - להחליף את הציונים הפרומפט לפרומפט הזה ולעדכן את הציונים במערכת בהתאם. </t>
  </si>
  <si>
    <t xml:space="preserve">לשמור גם כמות ראיות בחלוקה לכמות ראיות חזקות וחלשות. </t>
  </si>
  <si>
    <t>ואז בהמשך שיחה - תשלח לניתוח רק המשך השיחה והראיות יחושבו בהתאם</t>
  </si>
  <si>
    <t>אחרי זה לעשות את נרמול התוצאות והודאות יותר חכם, לא רק לפי מספר משפטים/מילים, אפשר גם נגיד לפי איזה שאלות ענה ואיזה נושאים דוברו בשיחה וכו'</t>
  </si>
  <si>
    <t>יכול להיות שכרגע הנרמול לא יהיה טוב כי הוא ינרמל למרות שהמודל מוציא ראיות בכוח פחות או יותר באותה כמות לכל משתמש.</t>
  </si>
  <si>
    <t>אולי בכל אחד מהפרומפטים האחרים - נעריך גם אינטליגנציה באופן כללי ונוסיף את זה לחישוב.</t>
  </si>
  <si>
    <t xml:space="preserve">נוי </t>
  </si>
  <si>
    <t>נטי</t>
  </si>
  <si>
    <t>רון</t>
  </si>
  <si>
    <t>חן</t>
  </si>
  <si>
    <t>אנה</t>
  </si>
  <si>
    <t>הגר</t>
  </si>
  <si>
    <t>ערסית</t>
  </si>
  <si>
    <t>נדב</t>
  </si>
  <si>
    <t>לנסות את הראיות בשיטה של חובת 3 ראיות</t>
  </si>
  <si>
    <t>בלי חוק ה3</t>
  </si>
  <si>
    <t>חוק ה3 בלי להכפיל משקל לראיה שלילית סבירה וכן הכפלת משקלים קיצונית לשליליים עם ראיה חזקה + הכפלה יותר קיצונית לחיובים חזקים (מעל 6)</t>
  </si>
  <si>
    <t xml:space="preserve">אם אני עובדת בשיטה הזאת (כרגע על 6) - אני צריכה להתחשב בגודל הדלתאות </t>
  </si>
  <si>
    <t>70/80</t>
  </si>
  <si>
    <t>חוק ה6 פלוס הכפלה אקספוננציאלית</t>
  </si>
  <si>
    <t>60/65/54</t>
  </si>
  <si>
    <t>האקספוננציליות צריכה להתחיל כבר ב1</t>
  </si>
  <si>
    <t>59/58/61</t>
  </si>
  <si>
    <t>70/63/72</t>
  </si>
  <si>
    <t>51/56</t>
  </si>
  <si>
    <t>אצלי למשל הוא פשוט נתן את אותו סט ראיות על כל התכונות באותו דירוג, התחיל טוב עם האנליטי ואז פשוט התחיל להעתיק</t>
  </si>
  <si>
    <t>81/81</t>
  </si>
  <si>
    <t>44/39</t>
  </si>
  <si>
    <t>חוק ה3 (עם הכפלה של 1.3 לחזקות ופי 2 לשליליות)</t>
  </si>
  <si>
    <t>צריך להגיד לו אולי לא להשתמש באותן ראיות, אלא אם הן ממש חזקות</t>
  </si>
  <si>
    <t>אולי לחייב לתת 2 ראיות שליליות לפחות</t>
  </si>
  <si>
    <t xml:space="preserve">מצב קודם + ראיות ייחודיות, הדגשת לקיחת החזקים ביותר וסולם חוזק. </t>
  </si>
  <si>
    <t>ציון באינטואיטיבית</t>
  </si>
  <si>
    <t>18/22/17</t>
  </si>
  <si>
    <t>75/75/75</t>
  </si>
  <si>
    <t>67/73/81</t>
  </si>
  <si>
    <t>72/91/99</t>
  </si>
  <si>
    <t>מקרה אנה 1 - נתן  את אותן 3 ראיות שליליות למרות שהן בחוזק בינוני לכל התכונות</t>
  </si>
  <si>
    <t>דבר נוסף - הוא לוקח דברים רגשיים ומשליך אותם על יכולת קוגנטיבית. כמו הימנעות מעימותים וכו'. זה קשור רק לחברתי, לא לקוגנטיבי כללי</t>
  </si>
  <si>
    <t>61/58</t>
  </si>
  <si>
    <t>19/48</t>
  </si>
  <si>
    <t>85/81</t>
  </si>
  <si>
    <t>לסדר את האפיון, את תכנית העבודה ואת כל המשימות שלי</t>
  </si>
  <si>
    <t>לקרוא מאמרים שקשורים להתאמה על בסיס כל אחת מהתכונות</t>
  </si>
  <si>
    <t>לדייק כל אחד מהפרופילים</t>
  </si>
  <si>
    <t>MBTI Test</t>
  </si>
  <si>
    <t xml:space="preserve">Sensing </t>
  </si>
  <si>
    <t>Intuition</t>
  </si>
  <si>
    <t>Thinking</t>
  </si>
  <si>
    <t>Feeling</t>
  </si>
  <si>
    <t>Judging</t>
  </si>
  <si>
    <t>Perceiving</t>
  </si>
  <si>
    <t>MBTI</t>
  </si>
  <si>
    <t>חושים</t>
  </si>
  <si>
    <t>שיפוט</t>
  </si>
  <si>
    <t>תפיסה</t>
  </si>
  <si>
    <t>חשיבה</t>
  </si>
  <si>
    <t>רגשות</t>
  </si>
  <si>
    <t>אינטואיציה</t>
  </si>
  <si>
    <t>עמדות</t>
  </si>
  <si>
    <t>סוג</t>
  </si>
  <si>
    <t>אינטלגנציה רגשית חברתית</t>
  </si>
  <si>
    <t>אנרגיה-סגנון תקשורת</t>
  </si>
  <si>
    <t>פרופיל סגנון</t>
  </si>
  <si>
    <t>מאפיינים כלליים</t>
  </si>
  <si>
    <t>פרומפט</t>
  </si>
  <si>
    <t>חישוב פרופיל</t>
  </si>
  <si>
    <t>חישוב התאמה</t>
  </si>
  <si>
    <t xml:space="preserve">ממוצע מרחק אוקלידי. </t>
  </si>
  <si>
    <t>פרומפט נפרד לכל התכונות הקשורות, משותף עם הפרומפט של ערכים.   לשפר בהתאם לצורך</t>
  </si>
  <si>
    <t xml:space="preserve">אין ציון. הצגת כל אחת מהתכונות והערך שלהן. </t>
  </si>
  <si>
    <r>
      <t xml:space="preserve">אין ציון. הצגת התכונות הבולטות (מעל 65 בחיובי או מתחת ל45 בשלילי - </t>
    </r>
    <r>
      <rPr>
        <b/>
        <sz val="11"/>
        <color theme="1"/>
        <rFont val="Calibri"/>
        <family val="2"/>
        <scheme val="minor"/>
      </rPr>
      <t>לוודא</t>
    </r>
    <r>
      <rPr>
        <sz val="11"/>
        <color theme="1"/>
        <rFont val="Calibri"/>
        <family val="2"/>
        <scheme val="minor"/>
      </rPr>
      <t>)</t>
    </r>
  </si>
  <si>
    <t>פרומפט נפרד לכל התכונות הקשורות, משותף עם הפרומפט של ביג פייב.   לשפר בהתאם לצורך</t>
  </si>
  <si>
    <t>כחלק מהפרומפט של הפרופיל הרגשי.  מלבד אינטלגנציה אינטואיטיבית שמחושב בפרומפט הקוגנטיבי.</t>
  </si>
  <si>
    <t>פרומפט נפרד לכל התכונות בפרופיל הרגשי. לשפר בהתאם לצורך.</t>
  </si>
  <si>
    <r>
      <t xml:space="preserve">ממוצע כלל התכונות שתחת פרופיל רגשי מלבד אילו שהופרדו לאינטלגנציה רגשית חברתית.  </t>
    </r>
    <r>
      <rPr>
        <b/>
        <sz val="11"/>
        <color theme="1"/>
        <rFont val="Calibri"/>
        <family val="2"/>
        <scheme val="minor"/>
      </rPr>
      <t>לוודא</t>
    </r>
    <r>
      <rPr>
        <sz val="11"/>
        <color theme="1"/>
        <rFont val="Calibri"/>
        <family val="2"/>
        <scheme val="minor"/>
      </rPr>
      <t>, לשפר</t>
    </r>
  </si>
  <si>
    <t xml:space="preserve">ממוצע מרחק אוקלידי. 
</t>
  </si>
  <si>
    <t>ממוצע מרחק אוקלידי.</t>
  </si>
  <si>
    <t>ממוצע התכונות כאשר בחלק מהתכונות נשתמש בערך ההופכי (קשיחות, תיאטרליות וכו').  לשפר</t>
  </si>
  <si>
    <t>אין ציון. הצגה של הסגנונות הבולטים (מעל 60? - לוודא).</t>
  </si>
  <si>
    <t>כאן צריך להכניס מנגנון מתוחכם יותר. ככל שציון המשתמש יותר גבוה בתכונת סגנון (אולי לא כולן) - המשקל להתאמה יותר קריטי. בכללי אולי לא לכל תכונות הסגנון יש אותו משקל התאמה. 
כמו כן - אפשר להכין קלסטרי טיפוסים שתלויים בסגנון + תכונות אחרות וליצור התאמות בהתאם.</t>
  </si>
  <si>
    <t>חישוב ההתאמה בכללי מוגזם - צריך לראות איך עוברים לציונים יותר רחבים.</t>
  </si>
  <si>
    <t>לכתוב לכל תכונה איזה פרומפט אחראי עליה, לאיזה פרופיל היא שייכת. (אם זה לא תואם את הקבוצה שלה)</t>
  </si>
  <si>
    <t>אין פרומפט. מבוסס על תכונות קיימות</t>
  </si>
  <si>
    <t>לחשוב על זה</t>
  </si>
  <si>
    <t>לחשוב אם להציג בכלל בנפרד ומה נכנס כאן</t>
  </si>
  <si>
    <t>אין.</t>
  </si>
  <si>
    <t>לנרמל ציוני התאמה. כרגע גבוהים ומוגזמים. לבדוק שוב את החישוב שלי.</t>
  </si>
  <si>
    <t>לחשב ציון התאמה לפי שילוב של גרופס + התאמה כללית בין התכונות ולשחק עם המשקלים</t>
  </si>
  <si>
    <t>משימות</t>
  </si>
  <si>
    <t>לבדוק מה פשר הציון של ביג פייב ערכים וסגנון בUserProfiles</t>
  </si>
  <si>
    <t>פרומפט נפרד לכל התכונות הקשורות מלבד מוחצנות/מופנמות שכבר מחושב בביג פייב. לשפר בהתאם לצורך.  
צריך לדייק את התכונות, למשל בין T לF - יש בעיה כשרוב השיחה היא רגשית. אולי צריך לנרמל את זה ביחס לאחרים או גם להדגיש את זה בפרומפט.
אולי גם צריך לנרמל את ציון המוחצנות. 40=30, 60=50 או 55, ו70=80</t>
  </si>
  <si>
    <t>הציון יהיה הטיפוס שנגזר מהציונים מבין 16 האישיות.
עבור T/F - מוסיפים 20 נקודות לT לפני החישוב</t>
  </si>
  <si>
    <t>כרגע - ממוצע כל התכונות לפי אילו שמשפיעות על הפרופיל. צריך להיות: 50% ממוצע התכונות, 50% התאמה לפי ציון כולל.
הפרופיל הקוגנטיבי גם מסנן התאמות במרחק 7 נקודות.</t>
  </si>
  <si>
    <t>חישוב ציונים כללי</t>
  </si>
  <si>
    <t>ממוצע מרחק אוקלידי. 
לשקול - כנ"ל לסעיף הקודם, תיקון ל10 נקודות לטובת האישה.</t>
  </si>
  <si>
    <t>50% ממוצע מרחק אוקלידי.   
50%- התאמה לפי ציון פרופיל עם התאמה של בהתאם לגבר-אישה. אחרת נשדך גברים שבממוצע יותר רגשיים לנשים שפחות.  תיקון ל4 נקודות לטובת האישה.</t>
  </si>
  <si>
    <t>קטגוריה</t>
  </si>
  <si>
    <t>תיאור</t>
  </si>
  <si>
    <t>Visual Appeal Band</t>
  </si>
  <si>
    <t>רמת אטרקטיביות כללית (פנימי בלבד)</t>
  </si>
  <si>
    <t>1 Very Low / 2 Low / 3 Moderate / 4 High / 5 Very High</t>
  </si>
  <si>
    <t>Body Type</t>
  </si>
  <si>
    <t>מבנה גוף כללי</t>
  </si>
  <si>
    <t>Slim / Fit / Average / Curvy / Heavyset</t>
  </si>
  <si>
    <t>Fit</t>
  </si>
  <si>
    <t>Fitness Signal</t>
  </si>
  <si>
    <t>עד כמה נראה פעיל/חטוב</t>
  </si>
  <si>
    <t>Low / Moderate / High</t>
  </si>
  <si>
    <t>High</t>
  </si>
  <si>
    <t>Grooming Level</t>
  </si>
  <si>
    <t>רמת טיפוח והשקעה</t>
  </si>
  <si>
    <t>Minimal / Moderate / High</t>
  </si>
  <si>
    <t>Style Category</t>
  </si>
  <si>
    <t>סגנון חיצוני</t>
  </si>
  <si>
    <t>Natural / Casual / Polished / Elegant / Glamorous / Alternative</t>
  </si>
  <si>
    <t>Polished</t>
  </si>
  <si>
    <t>Facial Structure</t>
  </si>
  <si>
    <t>מבנה פנים</t>
  </si>
  <si>
    <t>Soft / Balanced / Sharp / Strong-featured / Delicate</t>
  </si>
  <si>
    <t>Sharp</t>
  </si>
  <si>
    <t>Facial Archetype</t>
  </si>
  <si>
    <t>vibe כללי של הפנים</t>
  </si>
  <si>
    <t>Warm / Elegant / Glamorous / Natural / Intellectual / Edgy / Youthful / Mature</t>
  </si>
  <si>
    <t>Warm + Elegant</t>
  </si>
  <si>
    <t>Energy Projection</t>
  </si>
  <si>
    <t>אנרגיה כללית</t>
  </si>
  <si>
    <t>Soft / Feminine / Masculine / Dominant / Playful / Reserved</t>
  </si>
  <si>
    <t>Soft</t>
  </si>
  <si>
    <t>Skin Tone Range</t>
  </si>
  <si>
    <t>טווח גוון חזותי כללי (לא אתני)</t>
  </si>
  <si>
    <t>Fair / Light-Medium / Medium / Olive / Deep</t>
  </si>
  <si>
    <t>Olive</t>
  </si>
  <si>
    <t>Contrast Level</t>
  </si>
  <si>
    <t>ניגודיות כללית (שיער/עור/תווי פנים)</t>
  </si>
  <si>
    <t>Low / Medium / High</t>
  </si>
  <si>
    <t>Overall Presentation</t>
  </si>
  <si>
    <t>רושם כללי</t>
  </si>
  <si>
    <t>Understated / Balanced / Striking</t>
  </si>
  <si>
    <t>Striking</t>
  </si>
  <si>
    <t>Visual Appeal Band – 20%</t>
  </si>
  <si>
    <t>• Body Type/Fitness – 25%</t>
  </si>
  <si>
    <t>• Style/Grooming – 20%</t>
  </si>
  <si>
    <t>• Facial Archetype – 25%</t>
  </si>
  <si>
    <t>• Presentation/Energy – 10%</t>
  </si>
  <si>
    <t>אפשר לשמור גם כסקאלה (לדוגמה)</t>
  </si>
  <si>
    <t>אורית</t>
  </si>
  <si>
    <t>4 או 5</t>
  </si>
  <si>
    <t>Average/curvery</t>
  </si>
  <si>
    <t>Moderate</t>
  </si>
  <si>
    <t>Natural/casutal/soft polished</t>
  </si>
  <si>
    <t>soft/balanced</t>
  </si>
  <si>
    <t>warm/feminin/natural</t>
  </si>
  <si>
    <t>soft/warm/maternal</t>
  </si>
  <si>
    <t>Light Medium/olive</t>
  </si>
  <si>
    <t>Appeal</t>
  </si>
  <si>
    <t>warmth</t>
  </si>
  <si>
    <t>Glamour</t>
  </si>
  <si>
    <t>Naturalness</t>
  </si>
  <si>
    <t>Fitness aesthetic</t>
  </si>
  <si>
    <t>Style polish</t>
  </si>
  <si>
    <t>• Softness</t>
  </si>
  <si>
    <t>• Sharpness</t>
  </si>
  <si>
    <t>• Dominance</t>
  </si>
  <si>
    <t>• Approachability</t>
  </si>
  <si>
    <t>• Trendiness</t>
  </si>
  <si>
    <t>• Elegance</t>
  </si>
  <si>
    <t>• Distinctiveness</t>
  </si>
  <si>
    <t>נוי</t>
  </si>
  <si>
    <t>Femininity/Masculinity</t>
  </si>
  <si>
    <t>אמיר</t>
  </si>
  <si>
    <t>לי</t>
  </si>
  <si>
    <t>מירה</t>
  </si>
  <si>
    <t>ציון מינימום בפועל</t>
  </si>
  <si>
    <t>1–15 = very fair</t>
  </si>
  <si>
    <t>• 16–30 = fair/light</t>
  </si>
  <si>
    <t>• 31–50 = light-medium</t>
  </si>
  <si>
    <t>• 51–70 = medium/olive</t>
  </si>
  <si>
    <t>• 71–85 = deeper olive/tan</t>
  </si>
  <si>
    <t>• 86–100 = deep/dark</t>
  </si>
  <si>
    <t>טווח skine tone</t>
  </si>
  <si>
    <t>הזנת התכונות באופן ידני / על ידי AI בהתאם ל3 התמונות שישלחו (להדגיש למשתמשים שכדאי תמונות ברורות ותמונות גוף מלא, אם זה סבבה לבקש...)</t>
  </si>
  <si>
    <t>בהעלאת תמונה - אישור ניתוח על ידי AI (ביומטרי). אם מסמנים לא - אישור ניתוח ידני. אם מסמנים לא - הבהרה שלא יהיה לנו ניתוח מראה והמשתמשים יוצגו בלי קשר למראה חיצוני (ובמאגר נפרד, צריך לחשוב אם ואיך להסביר את זה. לא ברור אם צריך לגמרי מאגר נפרד או פשוט ציון התאמה חיצוני  = 0 שישפיע על האפשרויות)</t>
  </si>
  <si>
    <t>לומר למשתמשים שהם יכולים לשנות את ההסכמה בכל עת וגם לדון על זה בצ'אט ( הצ'אט צריך להיות מסוגל לספר להם למה צריך כל דבר ומה המשמעויות)</t>
  </si>
  <si>
    <t xml:space="preserve">שילוב של הציונים מהAI + שיעור אישור שמחושב על ידי המערכת.  כרגע מתייחסים רק לציונים מהAI שהם בעצם ידניים כרגע. </t>
  </si>
  <si>
    <t>להוסיף! אבל לחשוב איך להשתמש בזה</t>
  </si>
  <si>
    <t>יכול להשפיע על העממיות אולי, לבדוק אם זה קונסיסטנט</t>
  </si>
  <si>
    <t>נחלק לשתי קטגוריות של תכונות: הראשונה - 6 שהAI מנתח (או ניתוח ידני) עם ציון בכל תכונה (כולל מידת אטרקטיביות כללית, גבריות/נשיות, מבנה גוף וצבע עור, רק במונחים יותר עדינים ופוליטיקלי קורקט).  השניה - תכונות יבשות כמו גובה, צבע שיער עיניים וכו' (חלק מהם גם הAI ינתח). + שיעור אישור.  צריך לחשוב על פרומפט טוב לנושא, וצריך להתכסות מבחינה משפטית, אנושית ושקיפות למשתמש ככל הניתן. 
הAppeal צריך לשמש גם כמסנן ראשוני במקרים קיצוניים כמו שיעור האישור (אולי במקומו). בנוסף עבור משתמשים שביקשו מפורשות גם המבנה גוף צריך להיות מסנן (אבל עם טווח רחב יחסית, או לפחות בהתחשב בודאות)
*כל עוד אני עושה ניתוח ידני אני צריכה סקאלות ברורות כמו שאני  נותנת לAI</t>
  </si>
  <si>
    <t xml:space="preserve">נכניס קודם כל מרחק אוקלידי פשוט. ואז אפשר גם לחשוב על התאמת סגנונות לפי חוקי המודל (לא בטוח שכדאי, זה לא מוכח מחקרית). כן כדאי להתאים בין אותו טיפוס. לתת ציון אקסטרה אם הם אותו הטיפוס הסופי.
לפי המודל - הדמיון הכי קריטי הוא בציר הN/S מעבר לזה - דמיון הוא לא תמיד רצוי. התאמה טובה תהיה שני צירים זהים ו2 שונים, אבל לא בטוח שנרצה את זה במקרה שלנו. צריך לחשוב איך לחשב. </t>
  </si>
  <si>
    <t xml:space="preserve">נציג ציון של מסורתיות שיחושב לפי דתיות, חילוניות, שמרנות וערך מסורת. (אולי להפריד את שמרנות לעמדה נפרדת שמכילה גם את הפתיחות וכו')
נציג ציון של פוליטיות שיחושב לפי שמאל פוליטי וימין פוליטי.  אולי נחשב גם את מידת הפוליטיות הכללית.  
לחשוב על איך לעשות את החישובים והאם יש עוד עמדות שנגזרות מכאן. 
אחרי הרכבת העמדות - להוציא אותן מהסגנון </t>
  </si>
  <si>
    <t>כרגע מרחק רגיל בין הציונים. צריך - להתאים לטווחים האמיתיים, להוסיף התייחסות לשיעור אישור ולהתאים לבקשות המשתמש הספציפי. 
חישוב המראה צריך להיות שונה אצל גייז, בעיקר במובן של נשיות/גבריות אבל גם לשים לב שזה משפיע על הציון הכללי.  כמו כן - אולי כדאי להתייחס אחרת אצל אנשים שבאמת לא רגישים למראה באופן מפורש.
אולי צריך להתייחס שונה לאישור של הצד האטרקטיבי יותר. לחשוב על זה</t>
  </si>
  <si>
    <t xml:space="preserve">כרגע יש לי שתי שיטות חישוב: 1. פרומפט שמתייחס לכל התכונות הקוגנטיביות (ללא יוקרה תעסוקתית) ומוסיף גם הערכה של אינטליגנציה אינטואיטיבית (לצורך האיזון - לאפשר לAI לפרגן בדרך פחות אנליטית).   2. שיטת הראיות -  אותו הדבר רק במקום להוציא ציון - להוציא ראיות. 6 לכל תכונה עם עדיפות ל3 שליליות ו3 חיובית, וחובה לקחת את החזקות ביותר. (בפועל זה לא בהכרח קורה, והוא גם חוזר על אותם משפטים לכל התכונות  ולא עקבי).
לשים כרגע את שיטת הראיות בצד, להמשיך לעבוד עם הפרומפט הנוכחי אבל: לעשות כפתור של הרצה נוספת שיאפשר להריץ שוב ולעדכן את הציונים לממוצע ההרצות. צריך בעצם לשמור מערך הרצות לכל משתמש של סך הציונים שקיבל. בהמשך יכול להיות שגם נשתמש בזה כדי לבדוק פערים. אם קיבלתי פער מאוד גדול - אני עולה ארצה להעלות את זה לשיפוט עצמי. 
בנוסף - בכל אחד מהפרומפטים האחרים נבקש ציון אינטליגנציה אנליטית ואינטליגנציה אינטואיטיבית - נשמור אותם במערך סך אינטלגנציות. ובסוף נרכיב מזה ציון אחד (לא בטוחה לגבי זה, אולי זה לא ידייק וסתם יתן רעש).
לנרמל את הציון הקוגנטיבי בהנתן שהציונים בפועל נעים בין 20 ל90  (נראה לי שכבר עשיתתי את זה)
המשוחח חייב לשאול את המשתמשים על השכלה וכו' כדי לדייק את הפרופיל הקוגנטיבי. וגם לשאול מה למדו/עשו בעבר. </t>
  </si>
  <si>
    <t xml:space="preserve">כל התכונות הקוגנטיביות כולל יוקרה תעסוקתית, לא כולל אינטואיטיבית, כאשר אנליטיות מקבל משקל משולש.
הציון מנורמל לסקאלה של 20-90.
לשנות בהמשך את הציון בהתאם ל: מערך אינטליגנציות מכל פרומפט, הרצה משולשת של הפרומפט.
לשקול - לבדוק אם המשתמש הוא "רוני" ואם כן - להעלות ציון. 
יכול להיות שצריך להתייחס למצב שבו הפער בין הפרופיל הקוגנטיבי לאינטואיטיבי הוא גדול. </t>
  </si>
  <si>
    <t>energetic_intensity</t>
  </si>
  <si>
    <t>assertiveness_forcefulness</t>
  </si>
  <si>
    <t>אסרטיביות</t>
  </si>
  <si>
    <t>charismatic_presence</t>
  </si>
  <si>
    <t>נוכחות כריזמתית</t>
  </si>
  <si>
    <t>softness_sharpness_balance</t>
  </si>
  <si>
    <t xml:space="preserve">hesitation </t>
  </si>
  <si>
    <t>מידת הסתייגות</t>
  </si>
  <si>
    <t xml:space="preserve">אולי כדאי לשקול שינוי במשקלים של התכונות. נגיד אנרגיה ורמה קוגנטיבית כבסיס ואז את השאר...  בטוח צריך לתת משקלים גבוהים יותר בהתאם לרמת הציונים בחלק מהתכונות כמו נהנתנות, סגנונות וערכים מסוימים </t>
  </si>
  <si>
    <t xml:space="preserve">בכל חישובי הציונים - גם ברמת התכונה וגם ברמת הפרופיל צריך להתאים לטווחים בפועל. </t>
  </si>
  <si>
    <t>כרגע חישוב הציונים נעשה לפי מרחק אוקלידי בין כל התכונות. שיניתי כך שיתאים לפערים הנוכחיים: עד 5 - התאמה טובה, 15 - התאמה לא טובה.  צריך לדייק את זה פר תכונה וגם להתחשב עבור כל תכונה בטווח האמיתי (שהAI נותן בפועל, כמו שעשינו בקוגנטיבי). 
הציון הסופי מורכב מסך הציונים, כאשר לתכונות עם ודאות נמוכה יותר - יש פחות משקל בציון הסופי.
בתוך כל פרופיל - מחושב באותו אופן עם דקויות של הפרופיל שמתוארות למעלה.
לעבור לחישוב לפי פרופילים + אולי גם אחוז  מסוים לחישוב הכללי. כרגע ציון הפרופילים הוא ממוצע ציוני הפרופיל כאשר הפרופיל הקוגנטיבי מקבל משקל כפול. סחיות, עממיות ומידע כללי לא נכנסים.
לגבי המראה כרגע הוא נכנס לחישוב הכללי כ30 אחוז או 35 למשתמשים רגישים (ציון 70 ומעלה בודאות 0.7 ומעלה), ולחישוב הפרופילים נכנס כפרופיל נוסף עם משקל כפול.  לחשוב על זה, כי מצד אחד אני רוצה שברושם הראשוני אני אציג משתמשים שקשורים מבחינת מראה, מצד שני - אני רוצה לתת משקל מהותי יותר לאישיות, והמראה הוא רק מסנן. בסופו של דבר - בחירת המשתמש תחליף (או תשנה משמעותית) את הציון לפי מראה, ואז להחליט איזה משקל לתת לזה.   לקחת בחשבון גם שהתמונות יכולות להטעות, בעיקר את הAI, כמו במקרה אורית/הילה</t>
  </si>
  <si>
    <t xml:space="preserve">בחישוב לפי פרופילים שיחקתי קצת עם המשקלים, בגדול כדי להתאים יותר לנוי ורון אז צריך לראות שזה באמת אמין. </t>
  </si>
  <si>
    <t>פרומפט נפרד לכל התכונות הקשורות.   לשפר בהתאם לצורך.
פרופיל סופר קריטי. להוציא מפה כל מה שקשור לעמדות. להכניס סגנונות אפשריים - צריך לבנות את זה חכם. אולי בתגיות חופשיות (או לא חופשיות). לחשוב על זה. לצורך הבדיקה של זה אצטרך משתמשים מסגנונות שונים באמת, כרגע האוכלוסייה במערכת שלי די הומוגנית.  צריך אולי גם להיות גורם מפלטר לסגנונות לא קשורים.
סגנונות אפשריים (לחשוב איך לעשות את זה פוליטיקלי קורקט): ערסים, נורמטיבי, עממי, סחי, קיבוצניק/מושבניק, היפי, סובייטי, גיק, תרבות גבוהה, אליטיסטי, קפליניסט. לחשוב מה עוד ואיך לנסח.</t>
  </si>
  <si>
    <t>אימון על זוגות אמיתיים</t>
  </si>
  <si>
    <t>ייעוץ משפטי וconsents על השירות</t>
  </si>
  <si>
    <r>
      <t xml:space="preserve">מורכב מממוצע התכונות: אינטלגנציה אינטואיטיבית, מודעות עצמית, אינטלגנציה רגשית וערך הפוך לנוירוטיות. </t>
    </r>
    <r>
      <rPr>
        <b/>
        <sz val="11"/>
        <color theme="1"/>
        <rFont val="Calibri"/>
        <family val="2"/>
        <scheme val="minor"/>
      </rPr>
      <t xml:space="preserve">לוודא.   </t>
    </r>
    <r>
      <rPr>
        <sz val="11"/>
        <color theme="1"/>
        <rFont val="Calibri"/>
        <family val="2"/>
        <scheme val="minor"/>
      </rPr>
      <t xml:space="preserve">לשפר.  לא בטוחה שנוירוטיות קשור כאן. </t>
    </r>
  </si>
  <si>
    <r>
      <t xml:space="preserve">פרומפט נפרד לכל התכונות הקשורות.   לשפר בהתאם לצורך.
להוסיף אולי מידת הסתייגות.. ובכללי לקרוא על הנושא כדי לפתח את זה נכון יותר.   </t>
    </r>
    <r>
      <rPr>
        <b/>
        <sz val="11"/>
        <color theme="1"/>
        <rFont val="Calibri"/>
        <family val="2"/>
        <scheme val="minor"/>
      </rPr>
      <t>לעדכן למה שעשיתי</t>
    </r>
  </si>
  <si>
    <t>כניסה עם אוטנטיקציה</t>
  </si>
  <si>
    <t>צעדים לMVP</t>
  </si>
  <si>
    <t>לאפשר לעצמי לשנות נתוני משתמשים - גם תכונות וגם ציוני התאמה</t>
  </si>
  <si>
    <t>להכניס קונסנט וייעוץ בסיסי עם הילה</t>
  </si>
  <si>
    <t>לאפשר לעצמי לאשר התאמות (ברמת הפוטנציאל הראשוני)</t>
  </si>
  <si>
    <t>לסיים את חווית ההתאמה - שליחת של נוטיפיקציה, אפשרות לדירוג, כרטיס התאמה.</t>
  </si>
  <si>
    <t>לסדר את הצ'אט כך שידע לדבר על ההתאמה ועל מה שקורה אחרי</t>
  </si>
  <si>
    <t>בקאפס והפרדת טסט פרוד</t>
  </si>
  <si>
    <t>אוטומציה של הוספה כאפליקציה</t>
  </si>
  <si>
    <t>לעשות UI מוצלח</t>
  </si>
  <si>
    <t>אבטחת מידע - סגירת פינות</t>
  </si>
  <si>
    <t>אפשרות לשיחה אחרי קבלת כרטיס ההתאמה</t>
  </si>
  <si>
    <t>דרך ווטסאפ/הודעות/גם וגם</t>
  </si>
  <si>
    <t>לחשוב על עניין העלויות - אולי לחסום צ'אט בשלב מסוים</t>
  </si>
  <si>
    <t>האם להישאר עם GPT4o?</t>
  </si>
  <si>
    <t xml:space="preserve">בדיקות </t>
  </si>
  <si>
    <t>צעדי הפצה</t>
  </si>
  <si>
    <t>להתחיל פשוט - 10 משתמשים שאני מכירה שיכולים להגיד לי אם הכול תקין</t>
  </si>
  <si>
    <t xml:space="preserve">ואז - להפיץ אצל חברים וכו'.  </t>
  </si>
  <si>
    <t>אחרי ותוך כדי הMVP</t>
  </si>
  <si>
    <t xml:space="preserve">לשפר את חווית הצ'אט קודם כל </t>
  </si>
  <si>
    <t>לשפר את הניתוח והאלגוריתם שיהיה אוטומטי</t>
  </si>
  <si>
    <t>העלאת תמונות מסודרת כולל קונסנט על ניתוח התמונה</t>
  </si>
  <si>
    <t>במסך הcandidate matches אני אוכל לשחק עם ציוני ההתאמות. וגם כפתור שבלחיצה יוצר כרטיס התאמה ומחזיר ציון התאמה מהAI שמשתלב בציון הכולל. במסך של הmatched - יהיה לי כפתור שליחה ש: 1. יציג את ההתאמה עם כרטיס ההתאמה במסך של שני המשתמשים. 2. ישלח להם ווטסאפ שאומר שיש להם התאמה.  3. בכרטיס ההתאמה יהיה כפתור "החל בשיחה" שיאפשר שליחת הודעה.  אולי עם אופציה של עבור לשיחה בווטסאפ. (צריך לוודא שיש אישור לזה. אולי אם המשתמש יבקש שיחה בווטסאפ זה בעצם ישלח מהמערכת הודעה לצד השני אם הוא רוצה להתחיל בשיחה ומשם השיחה האמיתית תתחיל)</t>
  </si>
  <si>
    <t>הגבלת קצב בקשות (Rate Limiting)</t>
  </si>
  <si>
    <t xml:space="preserve">מסך אדמין - שיהיה פתוח רק למשתמשים שמוגדרים כאדמין. </t>
  </si>
  <si>
    <t>חסימת "זליגת מידע" דרך ה-ID (הגנת ID enumeration).  לבדוק מה עוד צריך ואפשרי כבר עכשיו</t>
  </si>
  <si>
    <t>תוך כדי הכול</t>
  </si>
  <si>
    <t>לשלוח לזוגות בסיסיים - עדן וגל, הינדי ואלי, אלכס, דני. אולי גם ללחוץ קצת על הבנות דודות. ולשלוח לזוגות אחרים לצורך הבדיקות</t>
  </si>
  <si>
    <t>מה למדת עליי ויש לי שאלה נפתחים בצ'אט הקוגנטיבי (או אולי האחרון שהיינו בו)  - זה אמור להיפתח בצ'אט הכללי או בצ'אט נפרד לגמרי</t>
  </si>
  <si>
    <t>לעשות יוזר אוטנטיקיישן - אפל וגוגל (או רק גוגל)</t>
  </si>
  <si>
    <t>לעדכן גם את הregister הרגיל לmagic link</t>
  </si>
  <si>
    <t>להבין מה בדיוק עשינו פה</t>
  </si>
  <si>
    <t xml:space="preserve">או רק לי. אולי לעשות מסך מסודר להרשאות. ושיעבוד שונה בלוקל ובפרוד. אפשר אולי שבכלל לא יעבוד בפרוד.  בלוקאל זה יכול להישאר עם הלינק בלבד.   </t>
  </si>
  <si>
    <t>שרת של railway - כרגע תכנית עסקית בסיסית?</t>
  </si>
  <si>
    <t>חשבון Supabase עבור אימות גם דרך מג'יק לינק וגם דרך גוגל</t>
  </si>
  <si>
    <t>מחובר דרך גיט</t>
  </si>
  <si>
    <t>מחובר דרך גיט לדעתי. מנהל את היוזרים איכשהו</t>
  </si>
  <si>
    <t>עבור המג'יק לינק</t>
  </si>
  <si>
    <t>קניתי דומין joinone.io בnamecheap</t>
  </si>
  <si>
    <t xml:space="preserve">סיסמה לשרת של Supabase - גמדים מלא  </t>
  </si>
  <si>
    <t>סיסמה קדדים מלא</t>
  </si>
  <si>
    <t>k9ihxhyj.up.railway.app</t>
  </si>
  <si>
    <t>CNAME</t>
  </si>
  <si>
    <t>railwrailway-verify=7eb9fbb8f4c237f82f21d60f4ead92598f90984576b0950a0f33b2cce299381fay-verify=7eb9fbb8f4c237f82f21d60f4ead92598f90984576b0950a0f33b2cce299381f</t>
  </si>
  <si>
    <t>TXT</t>
  </si>
  <si>
    <t>סיסמה לאפליקציה דרך גוגל כדי לספק דרכו SMTP  - בסוף שיניתי לresend</t>
  </si>
  <si>
    <t>חשבון resend כדי לשלוח דרכו SMTP שמחובר לדומיין שלי</t>
  </si>
  <si>
    <t>re_6BkYFomy_Q8PzyKrhSoqaPCzpxnxE8MYn</t>
  </si>
  <si>
    <t>API KEY - resend</t>
  </si>
  <si>
    <t>יש לי פרויקט One-MVP בgoogle console - עבור הGoogle Oauth</t>
  </si>
  <si>
    <t xml:space="preserve">אני צריכה גם לנהל מה אני משלמת </t>
  </si>
  <si>
    <t xml:space="preserve">יש לי תשלום שנתי לדומיין, יש לי תשלום לריילווי, מה עוד? </t>
  </si>
  <si>
    <t>אולי יהיה גם לאפל ולגוגל סטור</t>
  </si>
  <si>
    <t>דומיין</t>
  </si>
  <si>
    <t>יש לי 25 דולר של סופאבייס פרו (עבור הפרו) ועוד 10$ עבור הcustom domain של הauth</t>
  </si>
  <si>
    <t>קניתי בתשלום חד פעמי של 25$ גישה לגוגל פליי</t>
  </si>
  <si>
    <t xml:space="preserve">יש לי דומיין בשם joinone.io.  הגדרתי אותו בrailway ובsupabase. </t>
  </si>
  <si>
    <t>דרך הריילווי עם בראנץ' נפרד בגיט</t>
  </si>
  <si>
    <t>לא בטוח שצריך כרגע, נראה שעובד די טוב.</t>
  </si>
  <si>
    <t xml:space="preserve">ואז / תוך כדי - לחפש מישהי שתשווק + לפנות לאופיר/ליעד להציג את זה </t>
  </si>
  <si>
    <t>לעבור לפיתוח מובייל להפצת אפליקציה אמיתית</t>
  </si>
  <si>
    <t xml:space="preserve">מה לגבי גיבויים?  </t>
  </si>
  <si>
    <t>לוודא גם שהניתוח מתבצע באמת רק פעם אחת ואחר כך זה בשליטתי בלבד. לוודא שמשתמשים נכנסים למאגר רק אחרי שאני מריצה בעצמי ניתוח ידני. לוודא גם שאין מצב שהניתוח ירוץ בלופ או משהו כזה</t>
  </si>
  <si>
    <t>פירוט</t>
  </si>
  <si>
    <t>אולי כדאי לשקול מעבר לג'מיני/גרוק כדי לא להסתבך עם החסימות.
לנסות את המעבר בבראנץ' נפרד. לשקול אם לפני/אחרי/בזמן MVP</t>
  </si>
  <si>
    <t>אפשר גם אחרי MVP</t>
  </si>
  <si>
    <t>בסוף</t>
  </si>
  <si>
    <t>צריך לסדר את מסך הגדרות, פרופיל ושאר המסכים הלא סגורים</t>
  </si>
  <si>
    <t>צריך לוודא באיזה שלב משתמשים נכנסים למאגר ושזה יעבוד כמו שצריך</t>
  </si>
  <si>
    <t>בהמשך נצטרך להוסיף תנאי שימוש ופרטיות אמיתיים.</t>
  </si>
  <si>
    <t>אולי פשוט לעשות כפתור אישור כניסה למאגר - ואז אכניס רק בתום השיחות והניתוח</t>
  </si>
  <si>
    <t>מערכת בסיסית</t>
  </si>
  <si>
    <t>התאמות</t>
  </si>
  <si>
    <t>שליטה</t>
  </si>
  <si>
    <t>לחשוב מה אני עושה עם זה שלא יחרוג מדי כל עוד אני לא גובה תשלום.
נגיד אם משתמש דיבר יותר מדי ועבר את כל השלבים וממשיך לדבר - להציג לי התראה לגביו של כדאי לחסום ואז אם אני לוחצת על חסימת צ'אט - הצ'אט נסגר לשיחה עם הודעה מסוימת במסך</t>
  </si>
  <si>
    <t xml:space="preserve">דולב שאל את המערכת מה הmbtI שלו והוא ענה לו שיעשה מבחן במקום לענות... זה דאטה שאמור להיות לו. </t>
  </si>
  <si>
    <t>להוסיף תיבה שאומרת שזה MVP ואם משהו לא עבד / לא ענה על חוויית המשתמש שהם ציפו לה שיכתבו לנו. לשנות גם את מסך הבאגים בהתאם</t>
  </si>
  <si>
    <t>UX</t>
  </si>
  <si>
    <t xml:space="preserve">להוסיף גיל כבר למסך הרשמה הראשי.  </t>
  </si>
  <si>
    <t>בנוסף - במיקום שבמאפיינים - לשנות את "קצת רחוק יותר" למשהו יותר ברור ולעשות אותו דיפולט אולי.  אולי גם מיקום להוסיף למסך הראשי</t>
  </si>
  <si>
    <t>להוסיף לאדמין אם המשתמש עבד מהאייפון/גלקסי/דפדפן</t>
  </si>
  <si>
    <t>אם אפשר לדעת גם אם הוריד אפליקציה או לא</t>
  </si>
  <si>
    <t xml:space="preserve">מסך הגדרות - כלום לא נשמר. לבדוק גם את מחיקת החשבון. </t>
  </si>
  <si>
    <t xml:space="preserve">לוודא שכל המערכת היא self explainable </t>
  </si>
  <si>
    <t>ליד התמונות לכתוב למה זה משמש, גם ליד הפרטים, גם לכל שיחה אולי וכו'. להסביר למשתמש מה קורה בכל שלב - מה עומד לקרות, מה המערכת עושה ומה מצופה ממנו וכו'. לשפר גם משמעותית את היכולת של הצ'אט לענות על שאלות גם לגבי המערכת וגם לגבי המשתמש</t>
  </si>
  <si>
    <t xml:space="preserve">צריך לתקן קצת את הנוסח של הקונסנט נראה לי.  </t>
  </si>
  <si>
    <t>לערוך את תנאי השימוש והפרטיות וגם להוסיף אותם לconsent</t>
  </si>
  <si>
    <t>פתיחת אפליקציה בגוגל פליי</t>
  </si>
  <si>
    <t>הזהות שלי אומתה, צריך לפתוח בפועל את האפליקציה כשיגיע השלב</t>
  </si>
  <si>
    <t>לא לmvp</t>
  </si>
  <si>
    <t>בוצע. עובד רק בגלקסי (באייפון מציג חץ שמצביע על איך עושים את זה).  אצל שני עדיין יש אזהרה וחסימה</t>
  </si>
  <si>
    <t>עובד!</t>
  </si>
  <si>
    <r>
      <rPr>
        <b/>
        <sz val="11"/>
        <color theme="1"/>
        <rFont val="Calibri"/>
        <family val="2"/>
        <scheme val="minor"/>
      </rPr>
      <t>גוגל:</t>
    </r>
    <r>
      <rPr>
        <sz val="11"/>
        <color theme="1"/>
        <rFont val="Calibri"/>
        <family val="2"/>
        <scheme val="minor"/>
      </rPr>
      <t xml:space="preserve">
דפדפן - תקין 
אייפון -  תקין
גלקסי - תקין
</t>
    </r>
    <r>
      <rPr>
        <b/>
        <sz val="11"/>
        <color theme="1"/>
        <rFont val="Calibri"/>
        <family val="2"/>
        <scheme val="minor"/>
      </rPr>
      <t xml:space="preserve">אפל
</t>
    </r>
    <r>
      <rPr>
        <sz val="11"/>
        <color theme="1"/>
        <rFont val="Calibri"/>
        <family val="2"/>
        <scheme val="minor"/>
      </rPr>
      <t>לוותר בשלב הזה</t>
    </r>
  </si>
  <si>
    <t>הרשמה כאפליקציה רשמית של גוגל והופעה בgoogle store</t>
  </si>
  <si>
    <t xml:space="preserve">התהליך שהתחלתי עם קלוד, אפשר להמשיך איתו, ואז אצטרך לחכות שבועיים עד שזה יופיע בחנות - בינתיים אפשר להתחיל לפרסם. </t>
  </si>
  <si>
    <t>נשאר-   העיצוב לא תואם דפדפן מלבד המסך הראשי והשיחה. בweb app באייפון המסך קופץ למעלה כשמקלידים</t>
  </si>
  <si>
    <t>לביצוע לקראת התאמות</t>
  </si>
  <si>
    <t>לעשות איזשהיא חוויית משתמש לאחרי שהם מסיימים את השאלון עד שיש התאמה</t>
  </si>
  <si>
    <t>הוא אמור לדעת לענות גם על ערכים וביג פייב ודפוסי התקשרות.  לוודא שהוא יודע לענות על כל החלקים - מה אתה יודע עליי, איך אתה מוצא לי התאמה וכו'</t>
  </si>
  <si>
    <t>להכניס גם בכל התובנות על עצמי יותר פירוט ואיך זה קשור לזוגיות וכו'</t>
  </si>
  <si>
    <t xml:space="preserve">הרשמה וכל מה שקשור באפל </t>
  </si>
  <si>
    <t>תכנון</t>
  </si>
  <si>
    <t>קודם כל - כל החלק של תובנות - להוסיף לכל חלק מה זה אומר עליי בזוגיות ופירוט יותר ברור של מה זה כל דבר. כלומר ממש מסך של MBTI - משמעות כללית ומה זה אומר לגביי וכו'. כנ"ל ערכים ביג פייב וכו'.</t>
  </si>
  <si>
    <t xml:space="preserve">להוסיף לתובנות גם אניגרם, וסגנון התקשרות  - זה אומר להוסיף גם ניתוח של זה.  לבדוק איפה כדאי. </t>
  </si>
  <si>
    <t xml:space="preserve">טפטוף תובנות -  התובנות לא יוצגו מיד.  לכתוב במסך התובנות שהתובנות מצטברות, ואתם מוזמנים לבדוק מה גילינו מדי פעם. </t>
  </si>
  <si>
    <t xml:space="preserve">בכל מסך שאומר מי אתה, אם אתה לא מסכים - אתה מוזמן להגיד -  בועת "אני לא חושב שזה מתאר אותי נכון" ואז מעבר לצ'אט של "מה למדת עליי" ושם אפשרות לתקן. </t>
  </si>
  <si>
    <t xml:space="preserve">הצ'אט של מה למדת עליי ובכלל אמור להכיר את כל הידע הזה ולתת אותו למשתמש. בין אם הוא נכנס ל"מה למדת עליי" הוא סתם שואל, כמו שדולב שאל - מה הmbti שלי. הוא צריך לענות. </t>
  </si>
  <si>
    <t>לבדוק עם קלוד גם אם אני צריכה להכניס לו מידע מבחוץ על הנושאים האלה.</t>
  </si>
  <si>
    <t xml:space="preserve">המשך טפטוף תובנות - המערכת בכל כניסה למערכת תציג משהו אחר "טיפוס האניגרם שלך הוא: ... בוא ללמוד מה זה אומר על הזוגיות שלך" / "סגנון ההיקשרות שלך כפי שנותח על ידי המערכת הוא... בוא נלמד קצת מזה אומר" </t>
  </si>
  <si>
    <t xml:space="preserve">דשבורד התקדמות כמו שג'מיני הציע - כמה פרופילים נותחו וכו' - לא חייב להיות אמין. אם אין כלום - להציג משהו בכל זאת.. ולקדם עם הזמן. </t>
  </si>
  <si>
    <t>נתחיל מנטי, ספיר, נדב, מיכל. לחשוב מי עוד. שיגידו לי איך החוויה  ואז יתחילו להפיץ יחד עם הגר , עתל, רון וכו' ונראה מה קורה.</t>
  </si>
  <si>
    <t>לחשוב גם על באיזה טריגר אני שולחת להם נוטיפיקיישנס - תובנות חדשות, אופציות להתאמה, שאלות חידוד, שאלות כלליות (למשל - את מעשנת? איך את עם בעלי חיים?) / פתיחת שיחה על הדברים שחסרים לי</t>
  </si>
  <si>
    <t xml:space="preserve">אני צריכה גם ליצור בעצם שלב 2 של הצ'אט - לחידודים ודברים שחסרים או ספציפית שלב שאלות חידוד וכל פעם לשאול שאלה אחרת. </t>
  </si>
  <si>
    <t>אחרי שיש התאמה צריך גם להבהיר מה קורה עכשיו, מה המצב עכשיו ומה קורה אם זה לא עובד. גם אחרי שכבר יש התאמה - צריך מדי פעם לדגום אותם. אבל זה אחרי זה..</t>
  </si>
  <si>
    <t>**</t>
  </si>
  <si>
    <t>לוודא שכל הבועות עובדות כמו שצריך</t>
  </si>
  <si>
    <t>להוסיף גם אישור שליחת מיילים לנוטיפיקציה. אולי גם SMS ים  (אולי במסך ההרשמה במקום בקונסנט)</t>
  </si>
  <si>
    <t xml:space="preserve">החלק של תובנות על עצמי לא משהו. צריך לחשוב איך לשדרג  את זה. </t>
  </si>
  <si>
    <t>לשיפור</t>
  </si>
  <si>
    <t>נשאר:</t>
  </si>
  <si>
    <t>להכניס אניגרם, דפוסי הקשרות וגבריות/נשיות</t>
  </si>
  <si>
    <t>לשפר את הצ'אט של מה למדת עליי עכשיו והתובנות</t>
  </si>
  <si>
    <t>להכניס טריגרים לשליחת עדכונים</t>
  </si>
  <si>
    <t>שאלות חידוד ו/או שלב 2 של פרטים חסרים</t>
  </si>
  <si>
    <t>כל הux של אחרי התאמה - אולי לאחר כך.</t>
  </si>
  <si>
    <t>אחת: סיום ניתוח - נכניס ניתוח כללי בנוסף לתובנות שאריץ בעצמי. ואז אשלח נוטיפיקציה לניתוח הזה (ידנית).  יש ניתוח בוא תראה מה דעתך ואם תרצה לדייק אותנו.</t>
  </si>
  <si>
    <t xml:space="preserve">שלוש:  אישור מראה להתאמה פוטנציאלית - רק אמיתית. </t>
  </si>
  <si>
    <t xml:space="preserve">ארבע: התאמה אמיתית. </t>
  </si>
  <si>
    <r>
      <t xml:space="preserve">נוטיפיקציות - </t>
    </r>
    <r>
      <rPr>
        <sz val="11"/>
        <color theme="1"/>
        <rFont val="Calibri"/>
        <family val="2"/>
        <scheme val="minor"/>
      </rPr>
      <t>כולן כרגע יהיו ידניות וצריך ניהול מסודר שאדע מה שלחתי למי ומתי.</t>
    </r>
  </si>
  <si>
    <t>אולי צריך ממש לתת לו שאלות חידוד לכל תובנה + את הניתוח שאריץ בעצמי לכל משתמש (אבל אז מתי אכניס אותו? צריך משהו שיתמוך עד אז).  צריך גם שיסיים את השיחה ולא יתפזר יותר מדי</t>
  </si>
  <si>
    <t>שני הציעה לעשות סרטון כניסה עם הסברים</t>
  </si>
  <si>
    <t>שתיים: יש לנו התאמה פוטנציאלית אבל צריכים לאסוף קצת מידע כדי לחדד אותה .. הזמנה לצ'אט שאגדיר לו מראש איזה מידע אנחנו עוד צריכים על המשתמש הזה ומה השאלות. גם כן ידני.</t>
  </si>
  <si>
    <r>
      <t xml:space="preserve">לחשוב איך מכניסים לסוגי התאמה ולחשוב איך להשתמש בטקסט הכללי (דיל ברייקרס ויתרונות אפשריים).
</t>
    </r>
    <r>
      <rPr>
        <b/>
        <sz val="11"/>
        <color theme="1"/>
        <rFont val="Calibri"/>
        <family val="2"/>
        <scheme val="minor"/>
      </rPr>
      <t xml:space="preserve"> צריך להפוך את זה במקום מאפיינים כלליים - לטעם אישי שמורכב מהטעם הרצונות והבקשות של המשתמש שלא קשורות בהכרח לדמיון.</t>
    </r>
  </si>
  <si>
    <t>להוסיף בצ'אט של טעם אישי: האם יש דברים שהם דיל ברייקרס מבחינתך או משפיעים משמעותית על המשיכה או החיבור? למשל - מישהו שמעשן / לא אוהב בעלי חיים / צמחונות וכדומה.. ?  
ואז שאלה יותר רגישה של גרוש/ילדים?</t>
  </si>
  <si>
    <t>ואז לחזור לguidlines הכללי</t>
  </si>
  <si>
    <t>לפני שאני מעבירה לנדב נטי וכאלה שהיו כבר - לבדוק שהוא יודע להמשיך את הצ'אט שלהם כמו שצריך</t>
  </si>
  <si>
    <t>הוספת תכונות ותובנות - אניגרם, סגנון הקשרות וגבריות/נשיות</t>
  </si>
  <si>
    <t>שלב 2 של הצ'אט - פרטים חסרים ופתיחת שיחה חדשה עבור חידוד התאמה</t>
  </si>
  <si>
    <t>טריגרים לשליחת עדכונים</t>
  </si>
  <si>
    <t>שיפור הצ'אט של מה למדת עליי ותובנות</t>
  </si>
  <si>
    <t>בדיקות של כל השינויים האחרונים</t>
  </si>
  <si>
    <t>וגם את ההתאמה הסופית כולל שליחת כרטיס וכו'</t>
  </si>
  <si>
    <t>אניגראם - הוא לא מנתח טוב וגם לא מגדיר אותם נכון. לשלוח לו אולי איזה הסבר על טיפוסים.  
סגנון הקשרות - צריך להרכיב פרופיל של זה שמורכב מסגנון בטוח-נמנע, בטוח-חרדתי, וכו'
MBTI - הוא גם לא מנתח כל כך טוב. צריך לראות מה עושים עם המוחצנות מופנמות ומה לגבי הj הזה</t>
  </si>
  <si>
    <t xml:space="preserve">דברים שעלו:  בועות שמופיעות באמצע שיחה. </t>
  </si>
  <si>
    <t>לפחות של שלב 1</t>
  </si>
  <si>
    <t>שלב 1: להכניס תיאור של המשתמש ידני שהAI יוכל להשתמש בו וגם יופיע בתובנות. עד אז אפשר להשתמש בסיכום המשתמש הקיים.  +  להציג הודעה שהניתוח עוד לא הושלם, ויכול להיות שהתובנות עוד לא מדויק ונעדכן כשיושלם הניתוח.   - בוצע
שלב 2: להכניס שאלות חידוד לכל אחד מהתובנות.
שלב 3: להביא לסגירת השיחה - אם סתם מדובר במה למדת עליי כללי- לענות, לשאול אולי שאלה שתיים מנחות ואז לסגור.  אם מדובר בחידוד תובנות - לשאול קודם כל מה הוא חושב שלא מדויק ומה דעתו על זה, להציע לעשות שאלות חידוד, לשאול אותן ואז לכתוב שננתח מחדש ולסגור את השיחה.</t>
  </si>
  <si>
    <t>בוצע, לשיפור</t>
  </si>
  <si>
    <t>נשאר: בדיקה כללית, לשלוח גם לעתל, אולי מיכל ואולי לליעד (???), אולי לעידו, אולי להתחיל לכתוב בכל מיני קבוצות</t>
  </si>
  <si>
    <t xml:space="preserve">אולי גם להכניס JSON שלם ואז אוכל לתת לGPT לעשות את הניתוח.   
להוסיף גם הוספת חוות דעת AI על ההתאמה שאכניס כרגע ידנית ותשפיע על הציון. </t>
  </si>
  <si>
    <t>לעשות עם ג'מיני ראיון לעצמי שבו ישאל אותי שאלות על המבנה של הפרויקט שלי לוודא שאני יודעת הכול</t>
  </si>
  <si>
    <t xml:space="preserve">עטיפה עם קפסיטור - להמשיך בנפרד. </t>
  </si>
  <si>
    <t>פעולות קבועות</t>
  </si>
  <si>
    <t>לבדוק בresend אם יש משתמשים שניסו מג'יק לינק ולא הצליחו</t>
  </si>
  <si>
    <t>לבדוק תקלות בשיחות של המשתמשים ולתקן תוך כדי</t>
  </si>
  <si>
    <t>לשלוח מיילים של המשך שיחה, תובנות שהסתיימו וכו' (להגיד לכולם שזה MVP ושאנחנו אוספים משתמשים)</t>
  </si>
  <si>
    <t>להכניס תובנות אישיות ולהריץ ניתוח סופי בסיום</t>
  </si>
  <si>
    <t>להכניס ניתוח חיצוני למי שיש תמונות</t>
  </si>
  <si>
    <t>פעולות לעכשיו</t>
  </si>
  <si>
    <t>משתמש</t>
  </si>
  <si>
    <t>אביב וואל</t>
  </si>
  <si>
    <t>ניתוח הושלם</t>
  </si>
  <si>
    <t>נתנאלה</t>
  </si>
  <si>
    <t>פעולה לביצוע</t>
  </si>
  <si>
    <t>קובי</t>
  </si>
  <si>
    <t>סיים שיחה אבל לא נתן שום דאטה אמיתי</t>
  </si>
  <si>
    <t>לידר</t>
  </si>
  <si>
    <t xml:space="preserve">קיבלה מג'יק לינק ולא התחברה, כנראה היה באג. שלחתי לה מייל בנושא. </t>
  </si>
  <si>
    <t>לעשות סדר בין המשתמשים בפרוד לטסט</t>
  </si>
  <si>
    <t>פחות קריטי</t>
  </si>
  <si>
    <t xml:space="preserve">לשלוח לשני ניתוח וצילומי מסך מהמערכת  - אני צריכה לשתול שיחה של משתמש ולהציג אותו. </t>
  </si>
  <si>
    <t>לעבור על השיחה של קובי ולתקן בעיות:
* סיום השיחה בקוגנטיבי
* להסביר שהניתוח טעם הוא לא אמיתי ואין פרופילים, רק בחינה של מה מתאים.
* שלא יריץ ניתוח פעמיים אוטומטית</t>
  </si>
  <si>
    <t>סדר עבודה</t>
  </si>
  <si>
    <t>לתת להגר פוסט טוב לשתף</t>
  </si>
  <si>
    <t>ממתין לשני</t>
  </si>
  <si>
    <t>לראות מה עושים עם מצב שהמשתמש שולח הודעה ואז ממשיך לגבי ההודעה הקודמת אחרי שכבר יש שאלה.  (שיחה של נתנאלה לדוגמה)</t>
  </si>
  <si>
    <t xml:space="preserve">לסדר את התובנות </t>
  </si>
  <si>
    <t>להפריד בין אקסל ניהול לאקסל אפיון</t>
  </si>
  <si>
    <t>לעשות תכנית הפצה מסודרת</t>
  </si>
  <si>
    <t xml:space="preserve">לשלוח מייל מהמערכת למשתמשים קיימים - נטי איציק שחר נדב - שישלימו את הפרופיל וכו'. </t>
  </si>
  <si>
    <t>להוסיף זיקה לדת בפרטים האישיים
להחליף את כל הקרם ללבן ולעדכן תמונה בכניסה</t>
  </si>
  <si>
    <t>אנדרואיד דארק מוד - עדיין אין עיגולים וגם התובנות לא שקוף.  (צריך לעשות בהמשך אייקונים נפרדים לדארק מוד ולוגיקה שלמה לסיפור הזה...)
רצוי גם להכניס את הלוגו האמיתי</t>
  </si>
  <si>
    <t>לכתוב בקבוצות קונפשנס של האינסטגרם</t>
  </si>
  <si>
    <t>שאר ענייני הMVP</t>
  </si>
  <si>
    <t>הברירת מחדל של הנתונים הנוספים צריכה להיות לא ידוע - כרגע נגיד לא מעשן זו ברירת מחדל</t>
  </si>
  <si>
    <t>אחר כך - ליצור מאגר מאמרים שיתויג לכל טיפוס וכו' ויוצג למשתמשים - כל פעם משהו אחר יתווסף להם לפרופיל.</t>
  </si>
  <si>
    <t xml:space="preserve">פוסטים על זוגות בחתונמי </t>
  </si>
  <si>
    <t>פוסט מה למדנו מדאטה של זוגות אמיתיים</t>
  </si>
  <si>
    <t>להתקדם עם הקפסיטור</t>
  </si>
  <si>
    <t>לעבור על השיחה של נתנאלה ושל אביב ולתקן בעיות + של המשתמשות החדשות</t>
  </si>
  <si>
    <t>לסדר קצת עיצוב ותקלות שהיו (לעבור על השיחות)</t>
  </si>
  <si>
    <t>לשלוח מיילים של ברוכות הבאות למשתמשות החדשות + לבדוק את המצב הresend</t>
  </si>
  <si>
    <t>אחר כך - לערוך תובנות</t>
  </si>
  <si>
    <t>לשלוח מיילים למשתמשים ישנים</t>
  </si>
  <si>
    <t>רוני ליאור</t>
  </si>
  <si>
    <t>לשלוח עוד מייל?</t>
  </si>
  <si>
    <t>שיר ארז</t>
  </si>
  <si>
    <t>פלג סולרסקי</t>
  </si>
  <si>
    <t>יסמין כהן</t>
  </si>
  <si>
    <t>אורנת</t>
  </si>
  <si>
    <t>לינוי</t>
  </si>
  <si>
    <t>שחר</t>
  </si>
  <si>
    <t>איציק</t>
  </si>
  <si>
    <t>לבדוק פרופיל ואז לשלוח מייל</t>
  </si>
  <si>
    <t>לשים תובנות</t>
  </si>
  <si>
    <t>נטע אזולאי</t>
  </si>
  <si>
    <t>קיבלה קוד במג'יק ולא התחברה  - שלחתי מייל</t>
  </si>
  <si>
    <t>התחברה ולא השלימה כלום - שלחתי מייל</t>
  </si>
  <si>
    <t>לשמור שיחה</t>
  </si>
  <si>
    <t>כמעט סיימה שיחה. נשלח לה מייל שתמשיך בשיחה כדי להיכנס למאגר ואחרי 4 ימים מייל על ניתוח ראשוני</t>
  </si>
  <si>
    <t>עוד לא.. שבוע אחרי המייל האחרון - 21.6</t>
  </si>
  <si>
    <t>אינטראקציה אחרונה</t>
  </si>
  <si>
    <t>חלי</t>
  </si>
  <si>
    <t>יאנה</t>
  </si>
  <si>
    <t>אלמוג</t>
  </si>
  <si>
    <t>סיוון</t>
  </si>
  <si>
    <t>מורן</t>
  </si>
  <si>
    <t>טל</t>
  </si>
  <si>
    <t>ליה</t>
  </si>
  <si>
    <t>דנה</t>
  </si>
  <si>
    <t>אופיר</t>
  </si>
  <si>
    <t xml:space="preserve">תומר </t>
  </si>
  <si>
    <t>עשתה רק שיחה כללית בלי סגנון קוגנטיבי וטעם אישי.  - שלחתי מייל בנושא ושמתי לה תובנות ראשונות</t>
  </si>
  <si>
    <t>עשתה את ניתוח הטעם והסגנון אבל לא את הצ'אט הכללי. שמתי לה תובנות ביניים ושלחתי מייל</t>
  </si>
  <si>
    <t>באגים</t>
  </si>
  <si>
    <t xml:space="preserve">לא מוצגת לה בועה להמשיך.. </t>
  </si>
  <si>
    <t>לא סיימה את השיחה למרות ששיטפה הרבה ולא המשיכה לאחרים.  שמתי תובנות ושלחתי מייל</t>
  </si>
  <si>
    <t>לראות את מי אפשר להכניס למאגר</t>
  </si>
  <si>
    <t>השלימה הכול , הזנתי תובנות ושלחתי מייל.</t>
  </si>
  <si>
    <t>ניתוח חיצוני  + לשלוח מאמר  + להכניס למאגר</t>
  </si>
  <si>
    <t>הילה הילל</t>
  </si>
  <si>
    <t>השלים שיחה עם הצ'אט, התחיל ניתוח טעם אבל הפסיק ישר</t>
  </si>
  <si>
    <t xml:space="preserve">לשלוח מייל ברוך הבא עם הזמנה להמשיך. </t>
  </si>
  <si>
    <t xml:space="preserve">סיים שיחה אבל ענה במילה אחת </t>
  </si>
  <si>
    <t>סתיו שמחה</t>
  </si>
  <si>
    <t>התחברה והתחילה קצת את סגנון החשיבה והטעם</t>
  </si>
  <si>
    <t>לבדוק שהמסך מוצג תקין למשתמשים שנכנסו</t>
  </si>
  <si>
    <t>השלימה שיחה רגילה ורק התחילה קוגנטיבי</t>
  </si>
  <si>
    <t>השלימה הכול חוץ מפרטים.  הזנתי תובנות ושלחתי מייל</t>
  </si>
  <si>
    <t>סיימה הכול. הזנתי תובנות ושלחתי מייל</t>
  </si>
  <si>
    <t>עשה רק את הצ'אט הכללי. הזנתי תובנות ושלחתי מייל</t>
  </si>
  <si>
    <t>אור - orgot</t>
  </si>
  <si>
    <t>בלה</t>
  </si>
  <si>
    <t>dyafit6</t>
  </si>
  <si>
    <t>בר - couple tester</t>
  </si>
  <si>
    <t>ספיר</t>
  </si>
  <si>
    <t>אור - killerorxd</t>
  </si>
  <si>
    <t>ויקטוריה</t>
  </si>
  <si>
    <t>עשה ניתוח טעם וצ'אט כללי. שמתי לו תובנות. אי אפשר לשלוח לו מיילים</t>
  </si>
  <si>
    <t>לחשוב מה עושים עם עניין המיילים.</t>
  </si>
  <si>
    <t xml:space="preserve">התחילה את הצ'אט הכללי ולא סיימה. </t>
  </si>
  <si>
    <t>אי אפשר לשלוח מיילים</t>
  </si>
  <si>
    <t>נרשמ/ה ולא הוזן כלום</t>
  </si>
  <si>
    <t>עשתה את הצ'אט הכללי  - הזנתי תובנות</t>
  </si>
  <si>
    <t>ענת</t>
  </si>
  <si>
    <t xml:space="preserve">נשאר לה רק ניתוח טעם. הכנסתי תובנות ושלחתי מייל. מאז סיימה הכול. </t>
  </si>
  <si>
    <t>להזין תובנות מחדש ולהריץ שוב ניתוח. לשלוח מייל שנכנסה למאגר והניתוח שלה הושלם</t>
  </si>
  <si>
    <t xml:space="preserve">לשלוח לה מייל שנכנסה למאגר (לבדוק אם נחוץ, מה היה במייל הקודם?) עם חידוד או הודעה במסך שכדאי להשלים פרטים כדי לדייק את הסינון </t>
  </si>
  <si>
    <t>השלימה די הכול פשוט לא הזינה גובה נגיד - לא קריטי</t>
  </si>
  <si>
    <t>סיימה הכול!</t>
  </si>
  <si>
    <t>לשלוח מייל - לבדוק אם כבר שלחתי  + להזין תובנות וכו'</t>
  </si>
  <si>
    <t>אור הבן</t>
  </si>
  <si>
    <t>תומר</t>
  </si>
  <si>
    <t>שמתי לו הודעה במסך - 23/06 11:38</t>
  </si>
  <si>
    <t>שמתי לה הודעה במסך - 23/06 11:38</t>
  </si>
  <si>
    <t>סיים הכול נראה לי</t>
  </si>
  <si>
    <t>חשבון נוסף בפרטנר עבור הווטסאפ העסקי - 35 שח בחודש</t>
  </si>
  <si>
    <t>קיבלתי חשבונית של 35 דולר מסופאבייס - מזה??</t>
  </si>
  <si>
    <t>רן כהן</t>
  </si>
  <si>
    <t>ניסה להיכנס ולא הצליח</t>
  </si>
  <si>
    <t>ניצן אקרמן</t>
  </si>
  <si>
    <t>nimrod.harani</t>
  </si>
  <si>
    <t>שלחתי מייל</t>
  </si>
  <si>
    <t>סיימה הכול</t>
  </si>
  <si>
    <t>להזין תובנות ולשלוח הודעה</t>
  </si>
  <si>
    <t>להעביר אותה למוכנים למאגר</t>
  </si>
  <si>
    <t>הגיעה לשלב לקראת כניסה למאגר</t>
  </si>
  <si>
    <t>לקראת מאגר</t>
  </si>
  <si>
    <t>יש לי גיבוי דרך הrailway, והסוכן שלי גם שומר את כל השיחות והתמונות כשאני מגדירה לו (בהמשך זה יהיה scedual. - רק לחשוב איפה אני מנהלת את זה)</t>
  </si>
  <si>
    <t>אפל תשלום שנתי של 99 דולר.  בגוגל עשיתי תשלום חד פעמי של 25 נראה 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</si>
</sst>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Aptos"/>
      <family val="2"/>
    </font>
    <font>
      <b/>
      <sz val="11"/>
      <color theme="1"/>
      <name val="Aptos"/>
      <family val="2"/>
    </font>
    <font>
      <b/>
      <sz val="11"/>
      <color theme="1"/>
      <name val="Arial"/>
      <family val="2"/>
    </font>
    <font>
      <sz val="11"/>
      <color theme="1"/>
      <name val="Arial"/>
      <family val="2"/>
    </font>
    <font>
      <b/>
      <i/>
      <sz val="11"/>
      <color theme="1"/>
      <name val="Aptos"/>
      <family val="2"/>
    </font>
    <font>
      <b/>
      <sz val="11"/>
      <color theme="1"/>
      <name val="Calibri"/>
      <family val="2"/>
      <scheme val="minor"/>
    </font>
    <font>
      <b/>
      <i/>
      <sz val="11"/>
      <color theme="1"/>
      <name val="Calibri"/>
      <family val="2"/>
      <scheme val="minor"/>
    </font>
    <font>
      <i/>
      <sz val="11"/>
      <color theme="1"/>
      <name val="Calibri"/>
      <family val="2"/>
      <scheme val="minor"/>
    </font>
    <font>
      <b/>
      <sz val="12"/>
      <color theme="1"/>
      <name val="Calibri"/>
      <family val="2"/>
      <scheme val="minor"/>
    </font>
    <font>
      <sz val="10"/>
      <color theme="1"/>
      <name val="Arial"/>
      <family val="2"/>
    </font>
    <font>
      <sz val="10"/>
      <color theme="1"/>
      <name val="Arial Unicode MS"/>
    </font>
    <font>
      <b/>
      <i/>
      <sz val="11"/>
      <color theme="1"/>
      <name val="Arial"/>
      <family val="2"/>
    </font>
    <font>
      <b/>
      <sz val="11"/>
      <color theme="1"/>
      <name val="Calibri"/>
      <family val="2"/>
      <charset val="177"/>
      <scheme val="minor"/>
    </font>
    <font>
      <b/>
      <sz val="11"/>
      <color theme="1"/>
      <name val="Arial"/>
      <family val="2"/>
      <charset val="177"/>
    </font>
    <font>
      <b/>
      <sz val="11"/>
      <color theme="1"/>
      <name val="Aptos"/>
      <family val="2"/>
      <charset val="177"/>
    </font>
    <font>
      <sz val="11"/>
      <color theme="1"/>
      <name val="Arial"/>
      <family val="2"/>
      <charset val="177"/>
    </font>
    <font>
      <sz val="11"/>
      <color theme="1"/>
      <name val="Aptos"/>
      <family val="2"/>
      <charset val="177"/>
    </font>
    <font>
      <sz val="8"/>
      <color rgb="FF1F1F1F"/>
      <name val="Arial"/>
      <family val="2"/>
    </font>
    <font>
      <b/>
      <sz val="10"/>
      <color theme="1"/>
      <name val="Arial"/>
      <family val="2"/>
    </font>
    <font>
      <sz val="10"/>
      <color rgb="FF202122"/>
      <name val="Arial"/>
      <family val="2"/>
    </font>
    <font>
      <sz val="8"/>
      <color theme="1"/>
      <name val="Calibri"/>
      <family val="2"/>
      <scheme val="minor"/>
    </font>
    <font>
      <sz val="9"/>
      <color theme="1"/>
      <name val="Calibri"/>
      <family val="2"/>
      <scheme val="minor"/>
    </font>
    <font>
      <sz val="14"/>
      <color rgb="FFFFFFFF"/>
      <name val="Segoe UI"/>
      <family val="2"/>
    </font>
    <font>
      <sz val="14"/>
      <name val="Segoe UI"/>
      <family val="2"/>
    </font>
    <font>
      <sz val="7"/>
      <color rgb="FF1A1A1A"/>
      <name val="Arial"/>
      <family val="2"/>
    </font>
    <font>
      <b/>
      <sz val="11"/>
      <color rgb="FFFF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2">
    <xf numFmtId="0" fontId="0" fillId="0" borderId="0" xfId="0"/>
    <xf numFmtId="0" fontId="1" fillId="0" borderId="0" xfId="0" applyFont="1" applyAlignment="1">
      <alignment vertical="center" wrapText="1"/>
    </xf>
    <xf numFmtId="0" fontId="1" fillId="0" borderId="0" xfId="0" applyFont="1" applyAlignment="1">
      <alignment vertical="center" wrapText="1" readingOrder="2"/>
    </xf>
    <xf numFmtId="0" fontId="4" fillId="0" borderId="0" xfId="0" applyFont="1" applyAlignment="1">
      <alignment vertical="center" wrapText="1" readingOrder="2"/>
    </xf>
    <xf numFmtId="0" fontId="3" fillId="0" borderId="0" xfId="0" applyFont="1" applyAlignment="1">
      <alignment horizontal="right" vertical="center" readingOrder="2"/>
    </xf>
    <xf numFmtId="0" fontId="0" fillId="0" borderId="0" xfId="0" applyAlignment="1">
      <alignment wrapText="1"/>
    </xf>
    <xf numFmtId="0" fontId="4" fillId="0" borderId="0" xfId="0" applyFont="1" applyAlignment="1">
      <alignment vertical="center" wrapText="1"/>
    </xf>
    <xf numFmtId="0" fontId="3" fillId="2" borderId="0" xfId="0" applyFont="1" applyFill="1" applyAlignment="1">
      <alignment vertical="center" wrapText="1"/>
    </xf>
    <xf numFmtId="0" fontId="0" fillId="0" borderId="0" xfId="0" applyAlignment="1">
      <alignment readingOrder="2"/>
    </xf>
    <xf numFmtId="0" fontId="3" fillId="2" borderId="0" xfId="0" applyFont="1" applyFill="1" applyAlignment="1">
      <alignment vertical="center" wrapText="1" readingOrder="2"/>
    </xf>
    <xf numFmtId="0" fontId="6" fillId="2" borderId="0" xfId="0" applyFont="1" applyFill="1" applyAlignment="1">
      <alignment vertical="center" wrapText="1" readingOrder="2"/>
    </xf>
    <xf numFmtId="0" fontId="0" fillId="0" borderId="0" xfId="0" applyAlignment="1">
      <alignment vertical="center" wrapText="1" readingOrder="2"/>
    </xf>
    <xf numFmtId="0" fontId="0" fillId="0" borderId="0" xfId="0" applyAlignment="1">
      <alignment wrapText="1" readingOrder="2"/>
    </xf>
    <xf numFmtId="0" fontId="6" fillId="0" borderId="0" xfId="0" applyFont="1" applyAlignment="1">
      <alignment wrapText="1"/>
    </xf>
    <xf numFmtId="0" fontId="6" fillId="0" borderId="0" xfId="0" applyFont="1"/>
    <xf numFmtId="2" fontId="0" fillId="0" borderId="0" xfId="0" applyNumberFormat="1" applyAlignment="1">
      <alignment wrapText="1"/>
    </xf>
    <xf numFmtId="0" fontId="4" fillId="0" borderId="0" xfId="0" applyFont="1" applyAlignment="1">
      <alignment vertical="center" readingOrder="2"/>
    </xf>
    <xf numFmtId="0" fontId="3" fillId="0" borderId="0" xfId="0" applyFont="1" applyAlignment="1">
      <alignment vertical="center" wrapText="1" readingOrder="2"/>
    </xf>
    <xf numFmtId="0" fontId="3" fillId="0" borderId="0" xfId="0" applyFont="1" applyAlignment="1">
      <alignment vertical="center" wrapText="1"/>
    </xf>
    <xf numFmtId="0" fontId="7" fillId="0" borderId="0" xfId="0" applyFont="1"/>
    <xf numFmtId="0" fontId="8" fillId="0" borderId="0" xfId="0" applyFont="1"/>
    <xf numFmtId="0" fontId="5" fillId="0" borderId="0" xfId="0" applyFont="1" applyAlignment="1">
      <alignment vertical="center" wrapText="1" readingOrder="2"/>
    </xf>
    <xf numFmtId="0" fontId="6" fillId="2" borderId="0" xfId="0" applyFont="1" applyFill="1" applyAlignment="1">
      <alignment wrapText="1"/>
    </xf>
    <xf numFmtId="0" fontId="9" fillId="0" borderId="0" xfId="0" applyFont="1"/>
    <xf numFmtId="0" fontId="6" fillId="0" borderId="0" xfId="0" applyFont="1" applyAlignment="1">
      <alignment horizontal="right" readingOrder="2"/>
    </xf>
    <xf numFmtId="2" fontId="6" fillId="0" borderId="0" xfId="0" applyNumberFormat="1" applyFont="1"/>
    <xf numFmtId="0" fontId="6" fillId="0" borderId="0" xfId="0" applyFont="1" applyAlignment="1">
      <alignment readingOrder="2"/>
    </xf>
    <xf numFmtId="0" fontId="4" fillId="0" borderId="0" xfId="0" applyFont="1" applyAlignment="1">
      <alignment horizontal="right" vertical="center" readingOrder="2"/>
    </xf>
    <xf numFmtId="0" fontId="10" fillId="0" borderId="0" xfId="0" applyFont="1" applyAlignment="1">
      <alignment horizontal="right" vertical="center" readingOrder="2"/>
    </xf>
    <xf numFmtId="14" fontId="0" fillId="0" borderId="0" xfId="0" applyNumberFormat="1"/>
    <xf numFmtId="0" fontId="7" fillId="0" borderId="0" xfId="0" applyFont="1" applyAlignment="1">
      <alignment vertical="center" wrapText="1" readingOrder="2"/>
    </xf>
    <xf numFmtId="0" fontId="8" fillId="0" borderId="0" xfId="0" applyFont="1" applyAlignment="1">
      <alignment vertical="center" wrapText="1" readingOrder="2"/>
    </xf>
    <xf numFmtId="0" fontId="11" fillId="0" borderId="0" xfId="0" applyFont="1" applyAlignment="1">
      <alignment wrapText="1"/>
    </xf>
    <xf numFmtId="0" fontId="4" fillId="0" borderId="0" xfId="0" applyFont="1" applyAlignment="1">
      <alignment horizontal="right" vertical="center" wrapText="1" readingOrder="2"/>
    </xf>
    <xf numFmtId="0" fontId="7" fillId="0" borderId="0" xfId="0" applyFont="1" applyAlignment="1">
      <alignment wrapText="1"/>
    </xf>
    <xf numFmtId="0" fontId="6" fillId="3" borderId="0" xfId="0" applyFont="1" applyFill="1"/>
    <xf numFmtId="0" fontId="3" fillId="0" borderId="0" xfId="0" applyFont="1" applyAlignment="1">
      <alignment vertical="center" readingOrder="2"/>
    </xf>
    <xf numFmtId="0" fontId="14" fillId="0" borderId="0" xfId="0" applyFont="1" applyAlignment="1">
      <alignment vertical="center" wrapText="1" readingOrder="2"/>
    </xf>
    <xf numFmtId="0" fontId="13" fillId="0" borderId="0" xfId="0" applyFont="1"/>
    <xf numFmtId="0" fontId="14" fillId="2" borderId="0" xfId="0" applyFont="1" applyFill="1" applyAlignment="1">
      <alignment vertical="center" wrapText="1" readingOrder="2"/>
    </xf>
    <xf numFmtId="0" fontId="15" fillId="0" borderId="0" xfId="0" applyFont="1" applyAlignment="1">
      <alignment vertical="center" wrapText="1" readingOrder="2"/>
    </xf>
    <xf numFmtId="0" fontId="1" fillId="0" borderId="0" xfId="0" applyFont="1" applyAlignment="1">
      <alignment horizontal="right" vertical="center" wrapText="1" readingOrder="2"/>
    </xf>
    <xf numFmtId="0" fontId="1" fillId="0" borderId="0" xfId="0" applyFont="1" applyAlignment="1">
      <alignment horizontal="right" vertical="top" wrapText="1" readingOrder="2"/>
    </xf>
    <xf numFmtId="0" fontId="4" fillId="0" borderId="0" xfId="0" applyFont="1" applyAlignment="1">
      <alignment horizontal="right" vertical="top" wrapText="1" readingOrder="2"/>
    </xf>
    <xf numFmtId="0" fontId="5" fillId="0" borderId="0" xfId="0" applyFont="1" applyAlignment="1">
      <alignment horizontal="right" vertical="top" wrapText="1" readingOrder="2"/>
    </xf>
    <xf numFmtId="0" fontId="4" fillId="0" borderId="0" xfId="0" applyFont="1" applyAlignment="1">
      <alignment horizontal="right" vertical="center" wrapText="1"/>
    </xf>
    <xf numFmtId="0" fontId="16" fillId="0" borderId="0" xfId="0" applyFont="1" applyAlignment="1">
      <alignment horizontal="right" vertical="top" wrapText="1" readingOrder="2"/>
    </xf>
    <xf numFmtId="0" fontId="17" fillId="0" borderId="0" xfId="0" applyFont="1" applyAlignment="1">
      <alignment horizontal="right" vertical="top" wrapText="1" readingOrder="2"/>
    </xf>
    <xf numFmtId="0" fontId="16" fillId="0" borderId="0" xfId="0" applyFont="1" applyAlignment="1">
      <alignment vertical="center" wrapText="1" readingOrder="2"/>
    </xf>
    <xf numFmtId="0" fontId="17" fillId="0" borderId="0" xfId="0" applyFont="1" applyAlignment="1">
      <alignment vertical="center" wrapText="1" readingOrder="2"/>
    </xf>
    <xf numFmtId="0" fontId="4" fillId="0" borderId="0" xfId="0" applyFont="1" applyAlignment="1">
      <alignment vertical="top" wrapText="1"/>
    </xf>
    <xf numFmtId="0" fontId="13" fillId="0" borderId="0" xfId="0" applyFont="1" applyAlignment="1">
      <alignment horizontal="right"/>
    </xf>
    <xf numFmtId="0" fontId="18" fillId="0" borderId="0" xfId="0" applyFont="1"/>
    <xf numFmtId="0" fontId="10" fillId="0" borderId="1" xfId="0" applyFont="1" applyBorder="1" applyAlignment="1">
      <alignment horizontal="right" wrapText="1"/>
    </xf>
    <xf numFmtId="0" fontId="19" fillId="0" borderId="1" xfId="0" applyFont="1" applyBorder="1" applyAlignment="1">
      <alignment horizontal="right" wrapText="1"/>
    </xf>
    <xf numFmtId="0" fontId="6" fillId="2" borderId="0" xfId="0" applyFont="1" applyFill="1"/>
    <xf numFmtId="0" fontId="20" fillId="0" borderId="0" xfId="0" applyFont="1"/>
    <xf numFmtId="0" fontId="0" fillId="0" borderId="0" xfId="0" applyAlignment="1">
      <alignment horizontal="right"/>
    </xf>
    <xf numFmtId="0" fontId="0" fillId="0" borderId="0" xfId="0" applyAlignment="1">
      <alignment horizontal="right" readingOrder="2"/>
    </xf>
    <xf numFmtId="0" fontId="21" fillId="0" borderId="0" xfId="0" applyFont="1" applyAlignment="1">
      <alignment wrapText="1"/>
    </xf>
    <xf numFmtId="0" fontId="22" fillId="0" borderId="0" xfId="0" applyFont="1" applyAlignment="1">
      <alignment wrapText="1"/>
    </xf>
    <xf numFmtId="0" fontId="0" fillId="0" borderId="0" xfId="0" applyAlignment="1">
      <alignment horizontal="right" wrapText="1" readingOrder="2"/>
    </xf>
    <xf numFmtId="0" fontId="6"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xf>
    <xf numFmtId="16" fontId="0" fillId="0" borderId="0" xfId="0" applyNumberFormat="1" applyAlignment="1">
      <alignment readingOrder="2"/>
    </xf>
    <xf numFmtId="0" fontId="23" fillId="0" borderId="0" xfId="0" applyFont="1"/>
    <xf numFmtId="0" fontId="24" fillId="0" borderId="0" xfId="0" applyFont="1"/>
    <xf numFmtId="0" fontId="25" fillId="0" borderId="0" xfId="0" applyFont="1"/>
    <xf numFmtId="0" fontId="26" fillId="0" borderId="0" xfId="0" applyFont="1"/>
    <xf numFmtId="16" fontId="0" fillId="0" borderId="0" xfId="0" applyNumberFormat="1"/>
    <xf numFmtId="16"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526CF-D74A-497E-9908-C8339725635D}">
  <dimension ref="A1:G30"/>
  <sheetViews>
    <sheetView rightToLeft="1" workbookViewId="0">
      <selection activeCell="C15" sqref="C15"/>
    </sheetView>
  </sheetViews>
  <sheetFormatPr defaultRowHeight="14.4"/>
  <cols>
    <col min="1" max="1" width="91.44140625" customWidth="1"/>
    <col min="2" max="2" width="42.6640625" customWidth="1"/>
    <col min="3" max="3" width="40.88671875" customWidth="1"/>
    <col min="4" max="4" width="44.88671875" customWidth="1"/>
    <col min="7" max="7" width="42" customWidth="1"/>
    <col min="8" max="8" width="13.6640625" customWidth="1"/>
    <col min="10" max="10" width="45.6640625" customWidth="1"/>
  </cols>
  <sheetData>
    <row r="1" spans="1:7">
      <c r="A1" s="14" t="s">
        <v>390</v>
      </c>
      <c r="B1" s="14" t="s">
        <v>1089</v>
      </c>
      <c r="C1" s="14" t="s">
        <v>84</v>
      </c>
      <c r="G1" s="14"/>
    </row>
    <row r="2" spans="1:7" ht="28.8">
      <c r="A2" s="5" t="s">
        <v>1054</v>
      </c>
      <c r="C2" t="s">
        <v>396</v>
      </c>
    </row>
    <row r="3" spans="1:7" ht="43.2">
      <c r="A3" s="5" t="s">
        <v>1101</v>
      </c>
      <c r="B3" s="5" t="s">
        <v>1124</v>
      </c>
      <c r="C3" t="s">
        <v>396</v>
      </c>
    </row>
    <row r="4" spans="1:7" ht="72">
      <c r="A4" t="s">
        <v>1109</v>
      </c>
      <c r="B4" s="5" t="s">
        <v>1110</v>
      </c>
      <c r="C4" t="s">
        <v>396</v>
      </c>
      <c r="G4" s="14"/>
    </row>
    <row r="5" spans="1:7">
      <c r="A5" t="s">
        <v>1112</v>
      </c>
      <c r="C5" t="s">
        <v>405</v>
      </c>
    </row>
    <row r="6" spans="1:7">
      <c r="A6" s="5" t="s">
        <v>1123</v>
      </c>
      <c r="B6" t="s">
        <v>1125</v>
      </c>
      <c r="C6" t="s">
        <v>396</v>
      </c>
    </row>
    <row r="7" spans="1:7">
      <c r="A7" s="13" t="s">
        <v>1141</v>
      </c>
      <c r="B7" t="s">
        <v>1143</v>
      </c>
      <c r="C7" t="s">
        <v>405</v>
      </c>
    </row>
    <row r="9" spans="1:7">
      <c r="A9" s="14" t="s">
        <v>1127</v>
      </c>
    </row>
    <row r="10" spans="1:7" ht="28.8">
      <c r="A10" s="5" t="s">
        <v>1135</v>
      </c>
      <c r="B10" t="s">
        <v>396</v>
      </c>
      <c r="C10" s="14" t="s">
        <v>1145</v>
      </c>
    </row>
    <row r="11" spans="1:7" ht="28.8">
      <c r="A11" s="5" t="s">
        <v>1128</v>
      </c>
      <c r="B11" t="s">
        <v>396</v>
      </c>
      <c r="C11" t="s">
        <v>1149</v>
      </c>
    </row>
    <row r="12" spans="1:7">
      <c r="A12" s="13" t="s">
        <v>1129</v>
      </c>
      <c r="B12" s="14" t="s">
        <v>405</v>
      </c>
      <c r="C12" t="s">
        <v>1146</v>
      </c>
      <c r="E12">
        <v>2</v>
      </c>
    </row>
    <row r="13" spans="1:7" ht="57.6">
      <c r="A13" s="5" t="s">
        <v>1130</v>
      </c>
      <c r="B13" t="s">
        <v>396</v>
      </c>
      <c r="C13" s="5" t="s">
        <v>1147</v>
      </c>
      <c r="D13" s="5" t="s">
        <v>1155</v>
      </c>
      <c r="E13">
        <v>3</v>
      </c>
    </row>
    <row r="14" spans="1:7" ht="86.4">
      <c r="A14" s="5" t="s">
        <v>1131</v>
      </c>
      <c r="B14" t="s">
        <v>396</v>
      </c>
      <c r="C14" s="5" t="s">
        <v>1159</v>
      </c>
      <c r="E14">
        <v>1</v>
      </c>
      <c r="F14" t="s">
        <v>1160</v>
      </c>
    </row>
    <row r="15" spans="1:7" ht="28.8">
      <c r="A15" s="5" t="s">
        <v>1132</v>
      </c>
      <c r="B15" s="14" t="s">
        <v>1144</v>
      </c>
      <c r="C15" t="s">
        <v>1148</v>
      </c>
    </row>
    <row r="16" spans="1:7">
      <c r="A16" s="5" t="s">
        <v>1133</v>
      </c>
      <c r="B16" t="s">
        <v>1144</v>
      </c>
      <c r="C16" t="s">
        <v>467</v>
      </c>
    </row>
    <row r="17" spans="1:3" ht="28.8">
      <c r="A17" s="5" t="s">
        <v>1134</v>
      </c>
      <c r="B17" t="s">
        <v>396</v>
      </c>
    </row>
    <row r="18" spans="1:3" ht="28.8">
      <c r="A18" s="13" t="s">
        <v>1137</v>
      </c>
      <c r="B18" t="s">
        <v>405</v>
      </c>
    </row>
    <row r="19" spans="1:3" ht="28.8">
      <c r="A19" s="13" t="s">
        <v>1138</v>
      </c>
      <c r="B19" t="s">
        <v>405</v>
      </c>
      <c r="C19" t="s">
        <v>1150</v>
      </c>
    </row>
    <row r="20" spans="1:3">
      <c r="A20" t="s">
        <v>1156</v>
      </c>
    </row>
    <row r="21" spans="1:3">
      <c r="A21" s="5" t="s">
        <v>1140</v>
      </c>
    </row>
    <row r="22" spans="1:3" ht="28.8">
      <c r="A22" s="5" t="s">
        <v>1139</v>
      </c>
    </row>
    <row r="26" spans="1:3">
      <c r="A26" s="14" t="s">
        <v>1154</v>
      </c>
    </row>
    <row r="27" spans="1:3">
      <c r="A27" t="s">
        <v>1151</v>
      </c>
    </row>
    <row r="28" spans="1:3">
      <c r="A28" t="s">
        <v>1157</v>
      </c>
    </row>
    <row r="29" spans="1:3">
      <c r="A29" t="s">
        <v>1152</v>
      </c>
    </row>
    <row r="30" spans="1:3">
      <c r="A30" t="s">
        <v>1153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4B88-E3B9-441A-8257-9C1C5A3ED25F}">
  <sheetPr filterMode="1"/>
  <dimension ref="A1:F62"/>
  <sheetViews>
    <sheetView rightToLeft="1" topLeftCell="A17" workbookViewId="0">
      <selection activeCell="A63" sqref="A63"/>
    </sheetView>
  </sheetViews>
  <sheetFormatPr defaultRowHeight="14.4"/>
  <cols>
    <col min="1" max="1" width="55.109375" customWidth="1"/>
    <col min="2" max="2" width="76" customWidth="1"/>
    <col min="3" max="3" width="17.21875" customWidth="1"/>
  </cols>
  <sheetData>
    <row r="1" spans="1:5">
      <c r="A1" s="14" t="s">
        <v>1026</v>
      </c>
      <c r="B1" s="14" t="s">
        <v>1089</v>
      </c>
      <c r="C1" s="14" t="s">
        <v>84</v>
      </c>
      <c r="D1" s="14" t="s">
        <v>389</v>
      </c>
    </row>
    <row r="2" spans="1:5" hidden="1">
      <c r="A2" t="s">
        <v>1113</v>
      </c>
      <c r="B2" t="s">
        <v>1114</v>
      </c>
      <c r="C2" t="s">
        <v>1115</v>
      </c>
      <c r="D2" s="14"/>
    </row>
    <row r="3" spans="1:5" hidden="1">
      <c r="A3" t="s">
        <v>1126</v>
      </c>
      <c r="C3" t="s">
        <v>1115</v>
      </c>
      <c r="D3" s="14"/>
    </row>
    <row r="4" spans="1:5" ht="100.8" hidden="1">
      <c r="A4" t="s">
        <v>1055</v>
      </c>
      <c r="B4" s="5" t="s">
        <v>1118</v>
      </c>
      <c r="C4" t="s">
        <v>396</v>
      </c>
      <c r="D4" t="s">
        <v>1057</v>
      </c>
    </row>
    <row r="5" spans="1:5" hidden="1">
      <c r="A5" t="s">
        <v>1056</v>
      </c>
      <c r="B5" s="5" t="s">
        <v>1117</v>
      </c>
      <c r="C5" t="s">
        <v>396</v>
      </c>
      <c r="D5" t="s">
        <v>260</v>
      </c>
    </row>
    <row r="6" spans="1:5" ht="28.8" hidden="1">
      <c r="A6" t="s">
        <v>1119</v>
      </c>
      <c r="B6" s="5" t="s">
        <v>1120</v>
      </c>
      <c r="C6" t="s">
        <v>1092</v>
      </c>
    </row>
    <row r="7" spans="1:5" ht="28.8" hidden="1">
      <c r="A7" t="s">
        <v>1033</v>
      </c>
      <c r="B7" s="5" t="s">
        <v>1116</v>
      </c>
      <c r="C7" s="5" t="s">
        <v>396</v>
      </c>
    </row>
    <row r="8" spans="1:5" hidden="1">
      <c r="A8" t="s">
        <v>1032</v>
      </c>
      <c r="B8" s="5" t="s">
        <v>1083</v>
      </c>
      <c r="C8" t="s">
        <v>396</v>
      </c>
    </row>
    <row r="9" spans="1:5" hidden="1">
      <c r="A9" t="s">
        <v>1028</v>
      </c>
      <c r="B9" s="5" t="s">
        <v>1095</v>
      </c>
      <c r="C9" t="s">
        <v>396</v>
      </c>
    </row>
    <row r="10" spans="1:5" ht="28.8" hidden="1">
      <c r="A10" t="s">
        <v>1050</v>
      </c>
      <c r="B10" s="5" t="s">
        <v>1058</v>
      </c>
      <c r="C10" t="s">
        <v>396</v>
      </c>
    </row>
    <row r="11" spans="1:5" hidden="1">
      <c r="A11" t="s">
        <v>1035</v>
      </c>
      <c r="B11" t="s">
        <v>1051</v>
      </c>
      <c r="C11" t="s">
        <v>396</v>
      </c>
    </row>
    <row r="12" spans="1:5" ht="43.2" hidden="1">
      <c r="A12" t="s">
        <v>1049</v>
      </c>
      <c r="B12" s="5" t="s">
        <v>1088</v>
      </c>
      <c r="C12" t="s">
        <v>396</v>
      </c>
    </row>
    <row r="13" spans="1:5" hidden="1">
      <c r="A13" t="s">
        <v>1079</v>
      </c>
      <c r="B13" t="s">
        <v>1082</v>
      </c>
      <c r="C13" t="s">
        <v>396</v>
      </c>
    </row>
    <row r="14" spans="1:5" ht="28.8" hidden="1">
      <c r="A14" t="s">
        <v>1034</v>
      </c>
      <c r="B14" s="5" t="s">
        <v>1121</v>
      </c>
      <c r="C14" t="s">
        <v>396</v>
      </c>
      <c r="D14" t="s">
        <v>657</v>
      </c>
    </row>
    <row r="15" spans="1:5" hidden="1">
      <c r="A15" t="s">
        <v>1047</v>
      </c>
      <c r="B15" t="s">
        <v>1111</v>
      </c>
      <c r="C15" t="s">
        <v>396</v>
      </c>
      <c r="D15" t="s">
        <v>657</v>
      </c>
    </row>
    <row r="16" spans="1:5" ht="100.8">
      <c r="A16" s="5" t="s">
        <v>1030</v>
      </c>
      <c r="B16" s="5" t="s">
        <v>1048</v>
      </c>
      <c r="C16" t="s">
        <v>1122</v>
      </c>
      <c r="D16" t="s">
        <v>1098</v>
      </c>
      <c r="E16">
        <v>4</v>
      </c>
    </row>
    <row r="17" spans="1:6">
      <c r="A17" t="s">
        <v>1036</v>
      </c>
      <c r="B17" t="s">
        <v>1037</v>
      </c>
      <c r="C17" t="s">
        <v>1122</v>
      </c>
      <c r="D17" t="s">
        <v>1098</v>
      </c>
      <c r="E17">
        <v>5</v>
      </c>
    </row>
    <row r="18" spans="1:6">
      <c r="A18" t="s">
        <v>1031</v>
      </c>
      <c r="C18" t="s">
        <v>1122</v>
      </c>
      <c r="D18" t="s">
        <v>1098</v>
      </c>
    </row>
    <row r="19" spans="1:6" ht="43.2">
      <c r="A19" t="s">
        <v>1038</v>
      </c>
      <c r="B19" s="5" t="s">
        <v>1100</v>
      </c>
      <c r="C19" t="s">
        <v>405</v>
      </c>
      <c r="D19" t="s">
        <v>1097</v>
      </c>
      <c r="E19">
        <v>2</v>
      </c>
    </row>
    <row r="20" spans="1:6" ht="28.8" hidden="1">
      <c r="A20" t="s">
        <v>1039</v>
      </c>
      <c r="B20" s="5" t="s">
        <v>1090</v>
      </c>
      <c r="C20" t="s">
        <v>1091</v>
      </c>
    </row>
    <row r="21" spans="1:6" ht="28.8">
      <c r="A21" t="s">
        <v>1027</v>
      </c>
      <c r="B21" s="5" t="s">
        <v>1174</v>
      </c>
      <c r="C21" t="s">
        <v>405</v>
      </c>
      <c r="D21" t="s">
        <v>1099</v>
      </c>
      <c r="E21">
        <v>7</v>
      </c>
    </row>
    <row r="22" spans="1:6">
      <c r="A22" t="s">
        <v>1029</v>
      </c>
      <c r="B22" t="s">
        <v>1167</v>
      </c>
      <c r="C22" t="s">
        <v>405</v>
      </c>
      <c r="D22" t="s">
        <v>1099</v>
      </c>
      <c r="E22">
        <v>2</v>
      </c>
    </row>
    <row r="23" spans="1:6" hidden="1">
      <c r="A23" t="s">
        <v>1040</v>
      </c>
      <c r="C23" t="s">
        <v>1092</v>
      </c>
    </row>
    <row r="24" spans="1:6" ht="28.8">
      <c r="A24" t="s">
        <v>1087</v>
      </c>
      <c r="B24" s="5" t="s">
        <v>1303</v>
      </c>
      <c r="C24" t="s">
        <v>396</v>
      </c>
      <c r="D24" t="s">
        <v>1097</v>
      </c>
      <c r="E24">
        <v>6</v>
      </c>
    </row>
    <row r="25" spans="1:6" hidden="1">
      <c r="A25" t="s">
        <v>1093</v>
      </c>
      <c r="B25" t="s">
        <v>1108</v>
      </c>
      <c r="C25" t="s">
        <v>396</v>
      </c>
      <c r="D25" t="s">
        <v>1103</v>
      </c>
    </row>
    <row r="26" spans="1:6" hidden="1">
      <c r="A26" t="s">
        <v>1094</v>
      </c>
      <c r="B26" t="s">
        <v>1096</v>
      </c>
      <c r="C26" t="s">
        <v>396</v>
      </c>
      <c r="D26" t="s">
        <v>1097</v>
      </c>
    </row>
    <row r="27" spans="1:6" ht="28.8" hidden="1">
      <c r="A27" s="5" t="s">
        <v>1054</v>
      </c>
      <c r="C27" t="s">
        <v>396</v>
      </c>
      <c r="D27" t="s">
        <v>1103</v>
      </c>
      <c r="F27">
        <v>4</v>
      </c>
    </row>
    <row r="28" spans="1:6" ht="28.8" hidden="1">
      <c r="A28" t="s">
        <v>1104</v>
      </c>
      <c r="B28" s="5" t="s">
        <v>1105</v>
      </c>
      <c r="C28" t="s">
        <v>396</v>
      </c>
      <c r="D28" t="s">
        <v>1103</v>
      </c>
    </row>
    <row r="29" spans="1:6" ht="28.8" hidden="1">
      <c r="A29" s="5" t="s">
        <v>1101</v>
      </c>
      <c r="B29" s="5" t="s">
        <v>1124</v>
      </c>
      <c r="C29" t="s">
        <v>396</v>
      </c>
      <c r="D29" t="s">
        <v>1103</v>
      </c>
      <c r="F29">
        <v>5</v>
      </c>
    </row>
    <row r="30" spans="1:6" hidden="1">
      <c r="A30" t="s">
        <v>1102</v>
      </c>
      <c r="C30" t="s">
        <v>396</v>
      </c>
      <c r="D30" t="s">
        <v>1103</v>
      </c>
    </row>
    <row r="31" spans="1:6" ht="43.2" hidden="1">
      <c r="A31" s="14" t="s">
        <v>1109</v>
      </c>
      <c r="B31" s="5" t="s">
        <v>1110</v>
      </c>
      <c r="C31" t="s">
        <v>396</v>
      </c>
      <c r="D31" t="s">
        <v>1103</v>
      </c>
      <c r="F31">
        <v>2</v>
      </c>
    </row>
    <row r="32" spans="1:6" hidden="1">
      <c r="A32" t="s">
        <v>1112</v>
      </c>
      <c r="B32" t="s">
        <v>1142</v>
      </c>
      <c r="C32" t="s">
        <v>396</v>
      </c>
      <c r="D32" t="s">
        <v>1097</v>
      </c>
    </row>
    <row r="33" spans="1:6" ht="28.8" hidden="1">
      <c r="A33" s="5" t="s">
        <v>1123</v>
      </c>
      <c r="B33" t="s">
        <v>1125</v>
      </c>
      <c r="C33" t="s">
        <v>396</v>
      </c>
      <c r="D33" t="s">
        <v>1103</v>
      </c>
      <c r="F33">
        <v>3</v>
      </c>
    </row>
    <row r="34" spans="1:6" hidden="1">
      <c r="A34" t="s">
        <v>1106</v>
      </c>
      <c r="B34" t="s">
        <v>1107</v>
      </c>
      <c r="C34" t="s">
        <v>396</v>
      </c>
      <c r="D34" t="s">
        <v>1099</v>
      </c>
      <c r="F34">
        <v>1</v>
      </c>
    </row>
    <row r="35" spans="1:6" hidden="1">
      <c r="A35" t="s">
        <v>1161</v>
      </c>
      <c r="C35" t="s">
        <v>396</v>
      </c>
      <c r="D35" t="s">
        <v>1103</v>
      </c>
    </row>
    <row r="36" spans="1:6" ht="43.2" hidden="1">
      <c r="A36" t="s">
        <v>1162</v>
      </c>
      <c r="B36" s="5" t="s">
        <v>1168</v>
      </c>
      <c r="C36" t="s">
        <v>1172</v>
      </c>
      <c r="D36" t="s">
        <v>1103</v>
      </c>
    </row>
    <row r="37" spans="1:6" hidden="1">
      <c r="A37" t="s">
        <v>1163</v>
      </c>
      <c r="C37" t="s">
        <v>164</v>
      </c>
      <c r="D37" t="s">
        <v>1103</v>
      </c>
    </row>
    <row r="38" spans="1:6">
      <c r="A38" s="14" t="s">
        <v>1164</v>
      </c>
      <c r="C38" t="s">
        <v>405</v>
      </c>
      <c r="D38" t="s">
        <v>1103</v>
      </c>
      <c r="E38">
        <v>3</v>
      </c>
    </row>
    <row r="39" spans="1:6" ht="100.8" hidden="1">
      <c r="A39" t="s">
        <v>1165</v>
      </c>
      <c r="B39" s="5" t="s">
        <v>1171</v>
      </c>
      <c r="C39" t="s">
        <v>1172</v>
      </c>
      <c r="D39" t="s">
        <v>1103</v>
      </c>
      <c r="E39" t="s">
        <v>1170</v>
      </c>
    </row>
    <row r="40" spans="1:6">
      <c r="A40" t="s">
        <v>1166</v>
      </c>
      <c r="B40" t="s">
        <v>1169</v>
      </c>
      <c r="C40" s="14" t="s">
        <v>405</v>
      </c>
      <c r="D40" t="s">
        <v>1103</v>
      </c>
      <c r="E40">
        <v>1</v>
      </c>
    </row>
    <row r="41" spans="1:6" hidden="1"/>
    <row r="42" spans="1:6" hidden="1">
      <c r="A42" t="s">
        <v>1173</v>
      </c>
    </row>
    <row r="44" spans="1:6">
      <c r="A44" t="s">
        <v>1176</v>
      </c>
    </row>
    <row r="47" spans="1:6">
      <c r="A47" s="14" t="s">
        <v>1041</v>
      </c>
    </row>
    <row r="48" spans="1:6">
      <c r="A48" t="s">
        <v>1042</v>
      </c>
      <c r="B48" t="s">
        <v>1136</v>
      </c>
    </row>
    <row r="49" spans="1:2">
      <c r="A49" t="s">
        <v>1043</v>
      </c>
    </row>
    <row r="50" spans="1:2">
      <c r="A50" t="s">
        <v>1085</v>
      </c>
    </row>
    <row r="52" spans="1:2">
      <c r="A52" s="14" t="s">
        <v>1044</v>
      </c>
    </row>
    <row r="53" spans="1:2">
      <c r="A53" t="s">
        <v>1045</v>
      </c>
      <c r="B53" t="s">
        <v>1084</v>
      </c>
    </row>
    <row r="54" spans="1:2">
      <c r="A54" t="s">
        <v>1046</v>
      </c>
    </row>
    <row r="55" spans="1:2">
      <c r="A55" t="s">
        <v>1086</v>
      </c>
    </row>
    <row r="58" spans="1:2">
      <c r="A58" s="14" t="s">
        <v>1052</v>
      </c>
    </row>
    <row r="59" spans="1:2">
      <c r="A59" t="s">
        <v>1053</v>
      </c>
    </row>
    <row r="62" spans="1:2">
      <c r="A62" t="s">
        <v>1175</v>
      </c>
    </row>
  </sheetData>
  <autoFilter ref="A1:C42" xr:uid="{ECF54B88-E3B9-441A-8257-9C1C5A3ED25F}">
    <filterColumn colId="2">
      <filters>
        <filter val="לביצוע"/>
        <filter val="לביצוע לקראת התאמות"/>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8906E-1C11-4B48-8F0C-8E59E3B1398D}">
  <dimension ref="A1:P25"/>
  <sheetViews>
    <sheetView rightToLeft="1" workbookViewId="0">
      <selection activeCell="A6" sqref="A6"/>
    </sheetView>
  </sheetViews>
  <sheetFormatPr defaultRowHeight="14.4"/>
  <cols>
    <col min="1" max="1" width="68.21875" style="5" customWidth="1"/>
    <col min="2" max="2" width="15.21875" style="5" customWidth="1"/>
    <col min="8" max="16384" width="8.88671875" style="5"/>
  </cols>
  <sheetData>
    <row r="1" spans="1:16">
      <c r="A1" s="13" t="s">
        <v>1177</v>
      </c>
      <c r="H1" t="s">
        <v>1216</v>
      </c>
      <c r="I1"/>
      <c r="J1"/>
      <c r="K1"/>
      <c r="L1"/>
      <c r="M1"/>
      <c r="N1"/>
      <c r="O1"/>
      <c r="P1"/>
    </row>
    <row r="2" spans="1:16">
      <c r="A2" s="5" t="s">
        <v>1178</v>
      </c>
      <c r="H2" t="s">
        <v>1218</v>
      </c>
      <c r="L2"/>
      <c r="M2"/>
      <c r="N2"/>
      <c r="O2"/>
      <c r="P2"/>
    </row>
    <row r="3" spans="1:16">
      <c r="A3" s="5" t="s">
        <v>1261</v>
      </c>
      <c r="H3"/>
      <c r="L3"/>
      <c r="M3"/>
      <c r="N3"/>
      <c r="O3"/>
      <c r="P3"/>
    </row>
    <row r="4" spans="1:16">
      <c r="A4" s="5" t="s">
        <v>1179</v>
      </c>
      <c r="L4"/>
      <c r="M4"/>
      <c r="N4"/>
      <c r="O4"/>
      <c r="P4"/>
    </row>
    <row r="5" spans="1:16" ht="28.8">
      <c r="A5" s="5" t="s">
        <v>1180</v>
      </c>
      <c r="H5" t="s">
        <v>1213</v>
      </c>
      <c r="I5"/>
      <c r="J5"/>
      <c r="K5"/>
      <c r="L5"/>
      <c r="M5"/>
      <c r="N5"/>
      <c r="O5"/>
      <c r="P5"/>
    </row>
    <row r="6" spans="1:16">
      <c r="A6" s="5" t="s">
        <v>1181</v>
      </c>
      <c r="H6" t="s">
        <v>1211</v>
      </c>
      <c r="I6"/>
      <c r="J6"/>
      <c r="K6"/>
      <c r="L6"/>
      <c r="M6"/>
      <c r="N6"/>
      <c r="O6"/>
      <c r="P6"/>
    </row>
    <row r="7" spans="1:16">
      <c r="A7" s="5" t="s">
        <v>1182</v>
      </c>
      <c r="H7" t="s">
        <v>1215</v>
      </c>
      <c r="I7"/>
      <c r="J7"/>
      <c r="K7"/>
      <c r="L7"/>
      <c r="M7"/>
      <c r="N7"/>
      <c r="O7"/>
      <c r="P7"/>
    </row>
    <row r="8" spans="1:16">
      <c r="A8" s="5" t="s">
        <v>1252</v>
      </c>
      <c r="I8"/>
      <c r="J8"/>
      <c r="K8"/>
      <c r="L8"/>
      <c r="M8"/>
      <c r="N8"/>
      <c r="O8"/>
      <c r="P8"/>
    </row>
    <row r="9" spans="1:16">
      <c r="H9" t="s">
        <v>1217</v>
      </c>
      <c r="I9"/>
      <c r="J9"/>
      <c r="K9"/>
      <c r="L9"/>
      <c r="M9"/>
      <c r="N9"/>
      <c r="O9"/>
      <c r="P9"/>
    </row>
    <row r="10" spans="1:16">
      <c r="A10" s="13" t="s">
        <v>1183</v>
      </c>
      <c r="B10" s="5" t="s">
        <v>84</v>
      </c>
      <c r="C10" t="s">
        <v>1197</v>
      </c>
      <c r="H10" t="s">
        <v>1210</v>
      </c>
      <c r="I10"/>
      <c r="J10"/>
      <c r="K10"/>
      <c r="L10"/>
      <c r="M10"/>
      <c r="N10"/>
      <c r="O10"/>
      <c r="P10"/>
    </row>
    <row r="11" spans="1:16">
      <c r="A11" s="5" t="s">
        <v>1193</v>
      </c>
      <c r="B11" s="5" t="s">
        <v>1194</v>
      </c>
      <c r="H11" t="s">
        <v>1212</v>
      </c>
      <c r="I11"/>
      <c r="J11"/>
      <c r="K11"/>
      <c r="L11"/>
      <c r="M11"/>
      <c r="N11"/>
      <c r="O11"/>
      <c r="P11"/>
    </row>
    <row r="12" spans="1:16">
      <c r="A12" s="5" t="s">
        <v>1207</v>
      </c>
      <c r="C12">
        <v>1</v>
      </c>
      <c r="H12"/>
      <c r="I12"/>
      <c r="J12"/>
      <c r="K12"/>
      <c r="L12"/>
      <c r="M12"/>
      <c r="N12"/>
      <c r="O12"/>
      <c r="P12"/>
    </row>
    <row r="13" spans="1:16" ht="28.8">
      <c r="A13" s="5" t="s">
        <v>1195</v>
      </c>
      <c r="C13">
        <v>1</v>
      </c>
      <c r="H13"/>
      <c r="I13"/>
      <c r="J13"/>
      <c r="K13"/>
      <c r="L13"/>
      <c r="M13"/>
      <c r="N13"/>
      <c r="O13"/>
      <c r="P13"/>
    </row>
    <row r="14" spans="1:16" ht="57.6">
      <c r="A14" s="5" t="s">
        <v>1196</v>
      </c>
      <c r="H14"/>
      <c r="I14"/>
      <c r="J14"/>
      <c r="K14"/>
      <c r="L14"/>
      <c r="M14"/>
      <c r="N14"/>
      <c r="O14"/>
      <c r="P14"/>
    </row>
    <row r="15" spans="1:16">
      <c r="A15" s="5" t="s">
        <v>1214</v>
      </c>
      <c r="H15"/>
      <c r="I15"/>
      <c r="J15"/>
      <c r="K15"/>
      <c r="L15"/>
      <c r="M15"/>
      <c r="N15"/>
      <c r="O15"/>
      <c r="P15"/>
    </row>
    <row r="16" spans="1:16">
      <c r="A16" s="5" t="s">
        <v>1198</v>
      </c>
      <c r="B16" s="5" t="s">
        <v>1199</v>
      </c>
      <c r="C16">
        <v>1</v>
      </c>
      <c r="H16"/>
      <c r="I16"/>
      <c r="J16"/>
      <c r="K16"/>
      <c r="L16"/>
      <c r="M16"/>
      <c r="N16"/>
      <c r="O16"/>
      <c r="P16"/>
    </row>
    <row r="17" spans="1:16" ht="28.8">
      <c r="A17" s="5" t="s">
        <v>1200</v>
      </c>
      <c r="H17"/>
      <c r="I17"/>
      <c r="J17"/>
      <c r="K17"/>
      <c r="L17"/>
      <c r="M17"/>
      <c r="N17"/>
      <c r="O17"/>
      <c r="P17"/>
    </row>
    <row r="18" spans="1:16">
      <c r="A18" s="5" t="s">
        <v>1201</v>
      </c>
      <c r="H18"/>
      <c r="I18"/>
      <c r="J18"/>
      <c r="K18"/>
      <c r="L18"/>
      <c r="M18"/>
      <c r="N18"/>
      <c r="O18"/>
      <c r="P18"/>
    </row>
    <row r="19" spans="1:16">
      <c r="A19" s="5" t="s">
        <v>1203</v>
      </c>
      <c r="C19">
        <v>1</v>
      </c>
      <c r="H19"/>
      <c r="I19"/>
      <c r="J19"/>
      <c r="K19"/>
      <c r="L19"/>
      <c r="M19"/>
      <c r="N19"/>
      <c r="O19"/>
      <c r="P19"/>
    </row>
    <row r="20" spans="1:16">
      <c r="A20" s="5" t="s">
        <v>1202</v>
      </c>
    </row>
    <row r="21" spans="1:16">
      <c r="A21" s="5" t="s">
        <v>1204</v>
      </c>
    </row>
    <row r="22" spans="1:16" ht="28.8">
      <c r="A22" s="5" t="s">
        <v>1205</v>
      </c>
    </row>
    <row r="23" spans="1:16" ht="43.2">
      <c r="A23" s="5" t="s">
        <v>1206</v>
      </c>
    </row>
    <row r="24" spans="1:16">
      <c r="A24" s="5" t="s">
        <v>1208</v>
      </c>
    </row>
    <row r="25" spans="1:16" ht="28.8">
      <c r="A25" s="5" t="s">
        <v>1209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8527A-E67A-4DAD-9F73-AAB853233C6F}">
  <dimension ref="A1:J42"/>
  <sheetViews>
    <sheetView rightToLeft="1" workbookViewId="0">
      <selection activeCell="C3" sqref="C3"/>
    </sheetView>
  </sheetViews>
  <sheetFormatPr defaultRowHeight="14.4"/>
  <cols>
    <col min="1" max="1" width="20.5546875" customWidth="1"/>
    <col min="2" max="2" width="44.77734375" customWidth="1"/>
    <col min="3" max="3" width="37.44140625" customWidth="1"/>
    <col min="4" max="4" width="17.6640625" customWidth="1"/>
    <col min="5" max="5" width="30.109375" customWidth="1"/>
    <col min="6" max="6" width="30.77734375" customWidth="1"/>
  </cols>
  <sheetData>
    <row r="1" spans="1:10">
      <c r="A1" s="13" t="s">
        <v>1184</v>
      </c>
      <c r="B1" s="13" t="s">
        <v>84</v>
      </c>
      <c r="C1" s="13" t="s">
        <v>1188</v>
      </c>
      <c r="D1" s="13" t="s">
        <v>1236</v>
      </c>
      <c r="E1" s="13" t="s">
        <v>1249</v>
      </c>
      <c r="F1" s="13" t="s">
        <v>105</v>
      </c>
      <c r="G1" s="5"/>
    </row>
    <row r="2" spans="1:10">
      <c r="A2" s="5" t="s">
        <v>1185</v>
      </c>
      <c r="B2" s="5" t="s">
        <v>1186</v>
      </c>
      <c r="C2" s="5" t="s">
        <v>1254</v>
      </c>
      <c r="D2" s="5">
        <v>18.600000000000001</v>
      </c>
      <c r="E2" s="5"/>
      <c r="F2" s="5"/>
      <c r="G2" s="5"/>
    </row>
    <row r="3" spans="1:10" ht="28.8">
      <c r="A3" s="5" t="s">
        <v>1187</v>
      </c>
      <c r="B3" s="5" t="s">
        <v>1234</v>
      </c>
      <c r="C3" s="5" t="s">
        <v>1300</v>
      </c>
      <c r="D3" s="5">
        <v>21.6</v>
      </c>
      <c r="E3" s="5"/>
      <c r="F3" s="5" t="s">
        <v>1235</v>
      </c>
      <c r="G3" s="5"/>
    </row>
    <row r="4" spans="1:10" ht="28.8">
      <c r="A4" s="5" t="s">
        <v>1189</v>
      </c>
      <c r="B4" s="5" t="s">
        <v>1186</v>
      </c>
      <c r="C4" s="5" t="s">
        <v>1254</v>
      </c>
      <c r="D4" s="5">
        <v>19.600000000000001</v>
      </c>
      <c r="E4" s="5"/>
      <c r="F4" s="5" t="s">
        <v>1190</v>
      </c>
      <c r="G4" s="5"/>
    </row>
    <row r="5" spans="1:10" ht="28.8">
      <c r="A5" s="5" t="s">
        <v>1191</v>
      </c>
      <c r="B5" s="5" t="s">
        <v>1192</v>
      </c>
      <c r="C5" s="5" t="s">
        <v>1220</v>
      </c>
      <c r="D5" s="5">
        <v>18.600000000000001</v>
      </c>
      <c r="E5" s="5"/>
      <c r="F5" s="5"/>
      <c r="G5" s="5"/>
    </row>
    <row r="6" spans="1:10">
      <c r="A6" s="5" t="s">
        <v>1219</v>
      </c>
      <c r="B6" s="5" t="s">
        <v>1231</v>
      </c>
      <c r="C6" s="5"/>
      <c r="D6" s="5">
        <v>19.600000000000001</v>
      </c>
      <c r="E6" s="5"/>
      <c r="F6" s="5"/>
      <c r="G6" s="5"/>
    </row>
    <row r="7" spans="1:10">
      <c r="A7" s="5" t="s">
        <v>1221</v>
      </c>
      <c r="B7" s="5" t="s">
        <v>1232</v>
      </c>
      <c r="C7" s="5"/>
      <c r="D7" s="5">
        <v>21.6</v>
      </c>
      <c r="E7" s="5"/>
      <c r="F7" s="5"/>
      <c r="G7" s="5"/>
    </row>
    <row r="8" spans="1:10" ht="28.8">
      <c r="A8" s="5" t="s">
        <v>1222</v>
      </c>
      <c r="B8" s="5" t="s">
        <v>1247</v>
      </c>
      <c r="C8" s="5"/>
      <c r="D8" s="5">
        <v>22.6</v>
      </c>
      <c r="E8" s="5"/>
      <c r="F8" s="5"/>
      <c r="G8" s="5"/>
    </row>
    <row r="9" spans="1:10" ht="28.8">
      <c r="A9" s="5" t="s">
        <v>1223</v>
      </c>
      <c r="B9" s="5" t="s">
        <v>1248</v>
      </c>
      <c r="C9" s="5"/>
      <c r="D9" s="5">
        <v>22.6</v>
      </c>
      <c r="E9" s="5"/>
      <c r="F9" s="5"/>
      <c r="G9" s="5"/>
    </row>
    <row r="10" spans="1:10" ht="28.8">
      <c r="A10" s="5" t="s">
        <v>1224</v>
      </c>
      <c r="B10" s="5" t="s">
        <v>1251</v>
      </c>
      <c r="C10" s="5"/>
      <c r="D10" s="5">
        <v>22.6</v>
      </c>
      <c r="E10" s="5" t="s">
        <v>1250</v>
      </c>
      <c r="F10" s="5"/>
      <c r="G10" s="5"/>
    </row>
    <row r="11" spans="1:10" ht="28.8">
      <c r="A11" s="5" t="s">
        <v>1225</v>
      </c>
      <c r="B11" s="5" t="s">
        <v>1253</v>
      </c>
      <c r="C11" s="5" t="s">
        <v>1254</v>
      </c>
      <c r="D11" s="5">
        <v>22.6</v>
      </c>
      <c r="E11" s="5"/>
      <c r="F11" s="5"/>
      <c r="G11" s="5" t="s">
        <v>1233</v>
      </c>
    </row>
    <row r="12" spans="1:10">
      <c r="A12" s="5" t="s">
        <v>1226</v>
      </c>
      <c r="B12" s="5"/>
      <c r="C12" s="5" t="s">
        <v>1228</v>
      </c>
      <c r="D12" s="5"/>
      <c r="E12" s="5"/>
      <c r="F12" s="5"/>
      <c r="G12" s="5"/>
    </row>
    <row r="13" spans="1:10">
      <c r="A13" s="5" t="s">
        <v>1227</v>
      </c>
      <c r="B13" s="5"/>
      <c r="C13" s="5" t="s">
        <v>1228</v>
      </c>
      <c r="D13" s="5"/>
      <c r="E13" s="5"/>
      <c r="F13" s="5"/>
      <c r="G13" s="5"/>
    </row>
    <row r="14" spans="1:10">
      <c r="A14" s="5" t="s">
        <v>828</v>
      </c>
      <c r="B14" s="5"/>
      <c r="C14" s="5" t="s">
        <v>1228</v>
      </c>
      <c r="D14" s="5"/>
      <c r="E14" s="5"/>
      <c r="F14" s="5" t="s">
        <v>1229</v>
      </c>
      <c r="G14" s="5"/>
      <c r="J14" t="s">
        <v>1242</v>
      </c>
    </row>
    <row r="15" spans="1:10">
      <c r="A15" s="5" t="s">
        <v>822</v>
      </c>
      <c r="B15" s="5"/>
      <c r="C15" s="5" t="s">
        <v>1228</v>
      </c>
      <c r="D15" s="5"/>
      <c r="E15" s="5"/>
      <c r="F15" s="5" t="s">
        <v>1229</v>
      </c>
      <c r="G15" s="5"/>
      <c r="J15" t="s">
        <v>1286</v>
      </c>
    </row>
    <row r="16" spans="1:10">
      <c r="A16" s="5" t="s">
        <v>1230</v>
      </c>
      <c r="B16" s="5"/>
      <c r="C16" s="5" t="s">
        <v>1228</v>
      </c>
      <c r="D16" s="5"/>
      <c r="E16" s="5"/>
      <c r="F16" s="5"/>
      <c r="G16" s="5"/>
      <c r="J16" t="s">
        <v>1287</v>
      </c>
    </row>
    <row r="17" spans="1:10">
      <c r="A17" s="5" t="s">
        <v>1237</v>
      </c>
      <c r="B17" s="5" t="s">
        <v>1232</v>
      </c>
      <c r="D17" s="5">
        <v>22.6</v>
      </c>
      <c r="J17" t="s">
        <v>1244</v>
      </c>
    </row>
    <row r="18" spans="1:10" ht="28.8">
      <c r="A18" s="5" t="s">
        <v>1255</v>
      </c>
      <c r="B18" s="5" t="s">
        <v>1253</v>
      </c>
      <c r="C18" s="5" t="s">
        <v>1254</v>
      </c>
      <c r="D18" s="5">
        <v>22.6</v>
      </c>
      <c r="F18" s="5"/>
      <c r="G18" s="5" t="s">
        <v>1233</v>
      </c>
      <c r="J18" t="s">
        <v>1279</v>
      </c>
    </row>
    <row r="19" spans="1:10">
      <c r="A19" s="5" t="s">
        <v>825</v>
      </c>
      <c r="B19" s="5" t="s">
        <v>1232</v>
      </c>
      <c r="D19" s="5">
        <v>22.6</v>
      </c>
      <c r="J19" t="s">
        <v>1225</v>
      </c>
    </row>
    <row r="20" spans="1:10" ht="28.8">
      <c r="A20" s="5" t="s">
        <v>1238</v>
      </c>
      <c r="B20" s="5" t="s">
        <v>1280</v>
      </c>
      <c r="C20" s="13" t="s">
        <v>1281</v>
      </c>
      <c r="D20" s="5">
        <v>22.6</v>
      </c>
    </row>
    <row r="21" spans="1:10" ht="28.8">
      <c r="A21" s="5" t="s">
        <v>1239</v>
      </c>
      <c r="B21" s="5" t="s">
        <v>1256</v>
      </c>
      <c r="C21" s="69" t="s">
        <v>1257</v>
      </c>
      <c r="F21" t="s">
        <v>1258</v>
      </c>
    </row>
    <row r="22" spans="1:10">
      <c r="A22" s="5" t="s">
        <v>1259</v>
      </c>
      <c r="B22" s="5" t="s">
        <v>1253</v>
      </c>
      <c r="C22" s="5" t="s">
        <v>1254</v>
      </c>
      <c r="D22" s="5">
        <v>22.6</v>
      </c>
    </row>
    <row r="23" spans="1:10">
      <c r="A23" s="5" t="s">
        <v>1240</v>
      </c>
      <c r="B23" s="5" t="s">
        <v>1232</v>
      </c>
      <c r="D23" s="5">
        <v>22.6</v>
      </c>
    </row>
    <row r="24" spans="1:10" ht="43.2">
      <c r="A24" s="5" t="s">
        <v>1241</v>
      </c>
      <c r="B24" s="5" t="s">
        <v>1263</v>
      </c>
      <c r="C24" s="5" t="s">
        <v>1282</v>
      </c>
      <c r="D24" s="5">
        <v>22.6</v>
      </c>
    </row>
    <row r="25" spans="1:10">
      <c r="A25" s="5" t="s">
        <v>1242</v>
      </c>
      <c r="B25" s="5" t="s">
        <v>1263</v>
      </c>
      <c r="C25" s="14"/>
      <c r="D25" s="5">
        <v>22.6</v>
      </c>
      <c r="F25" t="s">
        <v>1283</v>
      </c>
    </row>
    <row r="26" spans="1:10">
      <c r="A26" s="5" t="s">
        <v>1243</v>
      </c>
      <c r="B26" s="5" t="s">
        <v>1262</v>
      </c>
      <c r="C26" t="s">
        <v>1302</v>
      </c>
      <c r="D26" s="5">
        <v>28.6</v>
      </c>
    </row>
    <row r="27" spans="1:10">
      <c r="A27" s="5" t="s">
        <v>1244</v>
      </c>
      <c r="B27" s="5" t="s">
        <v>1264</v>
      </c>
      <c r="C27" s="5" t="s">
        <v>1254</v>
      </c>
      <c r="D27" s="5">
        <v>22.6</v>
      </c>
    </row>
    <row r="28" spans="1:10">
      <c r="A28" s="5" t="s">
        <v>1245</v>
      </c>
      <c r="B28" t="s">
        <v>1260</v>
      </c>
      <c r="C28" t="s">
        <v>1297</v>
      </c>
      <c r="D28" s="70">
        <v>46201</v>
      </c>
    </row>
    <row r="29" spans="1:10">
      <c r="A29" s="5" t="s">
        <v>357</v>
      </c>
      <c r="B29" s="5" t="s">
        <v>1232</v>
      </c>
      <c r="D29" s="5">
        <v>22.6</v>
      </c>
    </row>
    <row r="30" spans="1:10">
      <c r="A30" s="5" t="s">
        <v>1246</v>
      </c>
      <c r="B30" s="5" t="s">
        <v>1265</v>
      </c>
      <c r="C30" s="14"/>
      <c r="D30" s="5">
        <v>22.6</v>
      </c>
    </row>
    <row r="31" spans="1:10">
      <c r="A31" s="5" t="s">
        <v>1266</v>
      </c>
      <c r="C31" t="s">
        <v>1301</v>
      </c>
      <c r="D31" s="70">
        <v>46201</v>
      </c>
    </row>
    <row r="32" spans="1:10" ht="28.8">
      <c r="A32" s="5" t="s">
        <v>1267</v>
      </c>
      <c r="B32" s="5" t="s">
        <v>1275</v>
      </c>
      <c r="C32" t="s">
        <v>1274</v>
      </c>
      <c r="D32" s="5" t="s">
        <v>1276</v>
      </c>
    </row>
    <row r="33" spans="1:4">
      <c r="A33" s="68" t="s">
        <v>1268</v>
      </c>
      <c r="B33" s="5" t="s">
        <v>1277</v>
      </c>
      <c r="C33" t="s">
        <v>1297</v>
      </c>
      <c r="D33" s="70">
        <v>46201</v>
      </c>
    </row>
    <row r="34" spans="1:4" ht="28.8">
      <c r="A34" s="5" t="s">
        <v>1269</v>
      </c>
      <c r="B34" s="5" t="s">
        <v>1278</v>
      </c>
      <c r="C34" t="s">
        <v>1289</v>
      </c>
      <c r="D34" s="5" t="s">
        <v>1276</v>
      </c>
    </row>
    <row r="35" spans="1:4">
      <c r="A35" s="5" t="s">
        <v>1279</v>
      </c>
      <c r="B35" s="5" t="s">
        <v>1298</v>
      </c>
      <c r="C35" t="s">
        <v>1299</v>
      </c>
    </row>
    <row r="36" spans="1:4">
      <c r="A36" s="5" t="s">
        <v>1270</v>
      </c>
      <c r="B36" s="5" t="s">
        <v>1253</v>
      </c>
      <c r="C36" s="5" t="s">
        <v>1254</v>
      </c>
      <c r="D36" s="5">
        <v>22.6</v>
      </c>
    </row>
    <row r="37" spans="1:4" ht="28.8">
      <c r="A37" s="5" t="s">
        <v>1271</v>
      </c>
      <c r="B37" s="5" t="s">
        <v>1273</v>
      </c>
      <c r="C37" t="s">
        <v>1288</v>
      </c>
      <c r="D37" s="71">
        <v>46196</v>
      </c>
    </row>
    <row r="38" spans="1:4" ht="28.8">
      <c r="A38" s="5" t="s">
        <v>1272</v>
      </c>
      <c r="B38" s="5" t="s">
        <v>1284</v>
      </c>
      <c r="C38" s="13" t="s">
        <v>1285</v>
      </c>
    </row>
    <row r="39" spans="1:4">
      <c r="A39" s="5" t="s">
        <v>823</v>
      </c>
      <c r="B39" s="5" t="s">
        <v>1290</v>
      </c>
      <c r="C39" s="5" t="s">
        <v>1254</v>
      </c>
    </row>
    <row r="40" spans="1:4">
      <c r="A40" s="5" t="s">
        <v>1293</v>
      </c>
      <c r="B40" s="5" t="s">
        <v>1294</v>
      </c>
    </row>
    <row r="41" spans="1:4">
      <c r="A41" s="5" t="s">
        <v>1296</v>
      </c>
      <c r="C41" t="s">
        <v>1297</v>
      </c>
      <c r="D41" s="70">
        <v>46201</v>
      </c>
    </row>
    <row r="42" spans="1:4">
      <c r="A42" s="5" t="s">
        <v>1295</v>
      </c>
      <c r="C42" t="s">
        <v>1297</v>
      </c>
      <c r="D42" s="70">
        <v>46201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AAFE0-452D-4051-B347-ABC11C3B618F}">
  <dimension ref="B2:M24"/>
  <sheetViews>
    <sheetView rightToLeft="1" tabSelected="1" workbookViewId="0">
      <selection activeCell="B11" sqref="B11"/>
    </sheetView>
  </sheetViews>
  <sheetFormatPr defaultRowHeight="14.4"/>
  <sheetData>
    <row r="2" spans="2:13">
      <c r="B2" t="s">
        <v>1065</v>
      </c>
    </row>
    <row r="4" spans="2:13">
      <c r="B4" t="s">
        <v>1059</v>
      </c>
      <c r="J4" t="s">
        <v>1061</v>
      </c>
    </row>
    <row r="5" spans="2:13">
      <c r="B5" t="s">
        <v>1060</v>
      </c>
      <c r="J5" t="s">
        <v>1062</v>
      </c>
    </row>
    <row r="6" spans="2:13">
      <c r="B6" t="s">
        <v>1071</v>
      </c>
      <c r="J6" t="s">
        <v>1063</v>
      </c>
    </row>
    <row r="7" spans="2:13">
      <c r="B7" t="s">
        <v>1075</v>
      </c>
    </row>
    <row r="8" spans="2:13">
      <c r="B8" t="s">
        <v>1064</v>
      </c>
      <c r="M8" t="s">
        <v>1066</v>
      </c>
    </row>
    <row r="9" spans="2:13">
      <c r="B9" t="s">
        <v>1072</v>
      </c>
    </row>
    <row r="10" spans="2:13">
      <c r="B10" t="s">
        <v>1304</v>
      </c>
    </row>
    <row r="11" spans="2:13">
      <c r="B11" t="s">
        <v>1067</v>
      </c>
      <c r="C11" t="s">
        <v>1068</v>
      </c>
    </row>
    <row r="12" spans="2:13" ht="20.399999999999999">
      <c r="B12" s="67" t="s">
        <v>1069</v>
      </c>
      <c r="C12" t="s">
        <v>1070</v>
      </c>
      <c r="L12" s="66" t="s">
        <v>1067</v>
      </c>
    </row>
    <row r="15" spans="2:13">
      <c r="C15" t="s">
        <v>1074</v>
      </c>
      <c r="J15" t="s">
        <v>1073</v>
      </c>
    </row>
    <row r="19" spans="2:11">
      <c r="B19" t="s">
        <v>1076</v>
      </c>
      <c r="K19" t="s">
        <v>1292</v>
      </c>
    </row>
    <row r="20" spans="2:11">
      <c r="B20" t="s">
        <v>1077</v>
      </c>
    </row>
    <row r="21" spans="2:11">
      <c r="B21" t="s">
        <v>1078</v>
      </c>
    </row>
    <row r="22" spans="2:11">
      <c r="B22" t="s">
        <v>1080</v>
      </c>
    </row>
    <row r="23" spans="2:11">
      <c r="B23" t="s">
        <v>1081</v>
      </c>
    </row>
    <row r="24" spans="2:11">
      <c r="B24" t="s">
        <v>1291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FD5D3-52D3-4B85-A770-31E2BD7FCBB7}">
  <dimension ref="A1:D35"/>
  <sheetViews>
    <sheetView rightToLeft="1" workbookViewId="0">
      <selection activeCell="H1" sqref="H1:O19"/>
    </sheetView>
  </sheetViews>
  <sheetFormatPr defaultRowHeight="14.4"/>
  <cols>
    <col min="1" max="1" width="19.33203125" customWidth="1"/>
    <col min="2" max="2" width="18.33203125" customWidth="1"/>
    <col min="3" max="3" width="15.88671875" customWidth="1"/>
    <col min="4" max="4" width="50.44140625" customWidth="1"/>
  </cols>
  <sheetData>
    <row r="1" spans="1:4">
      <c r="A1" s="35" t="s">
        <v>389</v>
      </c>
      <c r="B1" s="35" t="s">
        <v>390</v>
      </c>
      <c r="C1" s="35" t="s">
        <v>84</v>
      </c>
      <c r="D1" s="35" t="s">
        <v>391</v>
      </c>
    </row>
    <row r="2" spans="1:4">
      <c r="A2" t="s">
        <v>392</v>
      </c>
      <c r="B2" t="s">
        <v>393</v>
      </c>
      <c r="C2" t="s">
        <v>396</v>
      </c>
    </row>
    <row r="3" spans="1:4">
      <c r="A3" t="s">
        <v>392</v>
      </c>
      <c r="B3" t="s">
        <v>395</v>
      </c>
      <c r="C3" t="s">
        <v>402</v>
      </c>
      <c r="D3" t="s">
        <v>397</v>
      </c>
    </row>
    <row r="4" spans="1:4">
      <c r="A4" t="s">
        <v>392</v>
      </c>
      <c r="B4" t="s">
        <v>394</v>
      </c>
      <c r="C4" t="s">
        <v>405</v>
      </c>
      <c r="D4" t="s">
        <v>398</v>
      </c>
    </row>
    <row r="5" spans="1:4">
      <c r="A5" t="s">
        <v>468</v>
      </c>
      <c r="B5" t="s">
        <v>469</v>
      </c>
      <c r="C5" t="s">
        <v>402</v>
      </c>
      <c r="D5" t="s">
        <v>470</v>
      </c>
    </row>
    <row r="6" spans="1:4">
      <c r="A6" t="s">
        <v>399</v>
      </c>
      <c r="C6" t="s">
        <v>396</v>
      </c>
      <c r="D6" t="s">
        <v>663</v>
      </c>
    </row>
    <row r="7" spans="1:4">
      <c r="A7" t="s">
        <v>400</v>
      </c>
      <c r="B7" t="s">
        <v>401</v>
      </c>
      <c r="C7" t="s">
        <v>396</v>
      </c>
    </row>
    <row r="8" spans="1:4">
      <c r="A8" t="s">
        <v>400</v>
      </c>
      <c r="B8" t="s">
        <v>403</v>
      </c>
      <c r="C8" t="s">
        <v>396</v>
      </c>
    </row>
    <row r="9" spans="1:4">
      <c r="A9" t="s">
        <v>400</v>
      </c>
      <c r="B9" t="s">
        <v>404</v>
      </c>
      <c r="C9" s="14" t="s">
        <v>405</v>
      </c>
    </row>
    <row r="10" spans="1:4">
      <c r="A10" t="s">
        <v>409</v>
      </c>
      <c r="C10" t="s">
        <v>396</v>
      </c>
      <c r="D10" s="5"/>
    </row>
    <row r="11" spans="1:4">
      <c r="A11" t="s">
        <v>406</v>
      </c>
      <c r="B11" t="s">
        <v>407</v>
      </c>
      <c r="C11" t="s">
        <v>402</v>
      </c>
      <c r="D11" t="s">
        <v>408</v>
      </c>
    </row>
    <row r="12" spans="1:4">
      <c r="A12" t="s">
        <v>412</v>
      </c>
      <c r="B12" t="s">
        <v>614</v>
      </c>
      <c r="C12" t="s">
        <v>402</v>
      </c>
    </row>
    <row r="13" spans="1:4">
      <c r="A13" t="s">
        <v>615</v>
      </c>
      <c r="B13" t="s">
        <v>616</v>
      </c>
      <c r="C13" t="s">
        <v>396</v>
      </c>
    </row>
    <row r="14" spans="1:4">
      <c r="A14" t="s">
        <v>618</v>
      </c>
    </row>
    <row r="15" spans="1:4">
      <c r="A15" t="s">
        <v>406</v>
      </c>
      <c r="B15" t="s">
        <v>454</v>
      </c>
      <c r="C15" t="s">
        <v>402</v>
      </c>
      <c r="D15" t="s">
        <v>455</v>
      </c>
    </row>
    <row r="16" spans="1:4">
      <c r="A16" t="s">
        <v>406</v>
      </c>
      <c r="B16" t="s">
        <v>456</v>
      </c>
      <c r="C16" t="s">
        <v>457</v>
      </c>
    </row>
    <row r="17" spans="1:4">
      <c r="A17" s="14" t="s">
        <v>406</v>
      </c>
      <c r="B17" t="s">
        <v>463</v>
      </c>
      <c r="D17" t="s">
        <v>660</v>
      </c>
    </row>
    <row r="18" spans="1:4">
      <c r="A18" t="s">
        <v>617</v>
      </c>
      <c r="B18" t="s">
        <v>458</v>
      </c>
    </row>
    <row r="19" spans="1:4">
      <c r="A19" t="s">
        <v>406</v>
      </c>
      <c r="B19" t="s">
        <v>459</v>
      </c>
    </row>
    <row r="20" spans="1:4">
      <c r="A20" t="s">
        <v>406</v>
      </c>
      <c r="B20" t="s">
        <v>460</v>
      </c>
    </row>
    <row r="21" spans="1:4">
      <c r="A21" t="s">
        <v>461</v>
      </c>
      <c r="B21" t="s">
        <v>462</v>
      </c>
    </row>
    <row r="22" spans="1:4">
      <c r="A22" s="14" t="s">
        <v>464</v>
      </c>
    </row>
    <row r="23" spans="1:4">
      <c r="A23" s="14" t="s">
        <v>465</v>
      </c>
      <c r="D23" t="s">
        <v>661</v>
      </c>
    </row>
    <row r="24" spans="1:4">
      <c r="A24" t="s">
        <v>466</v>
      </c>
      <c r="D24" t="s">
        <v>662</v>
      </c>
    </row>
    <row r="25" spans="1:4">
      <c r="A25" s="14" t="s">
        <v>467</v>
      </c>
    </row>
    <row r="26" spans="1:4">
      <c r="A26" s="14" t="s">
        <v>688</v>
      </c>
    </row>
    <row r="27" spans="1:4">
      <c r="A27" s="14" t="s">
        <v>689</v>
      </c>
    </row>
    <row r="28" spans="1:4">
      <c r="A28" t="s">
        <v>1021</v>
      </c>
    </row>
    <row r="29" spans="1:4">
      <c r="A29" s="14" t="s">
        <v>1022</v>
      </c>
    </row>
    <row r="30" spans="1:4">
      <c r="A30" s="14" t="s">
        <v>1025</v>
      </c>
    </row>
    <row r="34" spans="1:1">
      <c r="A34" t="s">
        <v>619</v>
      </c>
    </row>
    <row r="35" spans="1:1">
      <c r="A35" t="s">
        <v>620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EE30-A7E2-4C7A-8C61-FDFDE8F0687C}">
  <dimension ref="A1:D21"/>
  <sheetViews>
    <sheetView rightToLeft="1" workbookViewId="0">
      <selection activeCell="B13" sqref="B13"/>
    </sheetView>
  </sheetViews>
  <sheetFormatPr defaultRowHeight="14.4"/>
  <cols>
    <col min="1" max="1" width="12.33203125" customWidth="1"/>
    <col min="2" max="2" width="39.21875" customWidth="1"/>
    <col min="4" max="4" width="48.44140625" customWidth="1"/>
  </cols>
  <sheetData>
    <row r="1" spans="1:4">
      <c r="A1" s="55" t="s">
        <v>389</v>
      </c>
      <c r="B1" s="55" t="s">
        <v>390</v>
      </c>
      <c r="C1" s="55" t="s">
        <v>84</v>
      </c>
      <c r="D1" s="55" t="s">
        <v>391</v>
      </c>
    </row>
    <row r="2" spans="1:4">
      <c r="A2" t="s">
        <v>621</v>
      </c>
      <c r="B2" t="s">
        <v>638</v>
      </c>
      <c r="C2" t="s">
        <v>402</v>
      </c>
    </row>
    <row r="3" spans="1:4">
      <c r="A3" t="s">
        <v>621</v>
      </c>
      <c r="B3" t="s">
        <v>622</v>
      </c>
    </row>
    <row r="4" spans="1:4">
      <c r="A4" t="s">
        <v>625</v>
      </c>
      <c r="B4" t="s">
        <v>624</v>
      </c>
    </row>
    <row r="5" spans="1:4">
      <c r="A5" t="s">
        <v>626</v>
      </c>
      <c r="B5" t="s">
        <v>623</v>
      </c>
    </row>
    <row r="6" spans="1:4">
      <c r="A6" t="s">
        <v>627</v>
      </c>
      <c r="B6" t="s">
        <v>628</v>
      </c>
    </row>
    <row r="7" spans="1:4">
      <c r="A7" t="s">
        <v>630</v>
      </c>
      <c r="B7" t="s">
        <v>629</v>
      </c>
    </row>
    <row r="8" spans="1:4">
      <c r="A8" t="s">
        <v>626</v>
      </c>
      <c r="B8" t="s">
        <v>631</v>
      </c>
    </row>
    <row r="9" spans="1:4">
      <c r="A9" t="s">
        <v>626</v>
      </c>
      <c r="B9" t="s">
        <v>632</v>
      </c>
    </row>
    <row r="10" spans="1:4">
      <c r="A10" t="s">
        <v>111</v>
      </c>
      <c r="B10" t="s">
        <v>635</v>
      </c>
    </row>
    <row r="11" spans="1:4">
      <c r="A11" t="s">
        <v>111</v>
      </c>
      <c r="B11" t="s">
        <v>633</v>
      </c>
    </row>
    <row r="12" spans="1:4">
      <c r="A12" t="s">
        <v>111</v>
      </c>
      <c r="B12" t="s">
        <v>634</v>
      </c>
    </row>
    <row r="13" spans="1:4">
      <c r="A13" t="s">
        <v>625</v>
      </c>
      <c r="B13" t="s">
        <v>636</v>
      </c>
    </row>
    <row r="14" spans="1:4">
      <c r="A14" t="s">
        <v>406</v>
      </c>
      <c r="B14" t="s">
        <v>637</v>
      </c>
    </row>
    <row r="16" spans="1:4">
      <c r="A16" t="s">
        <v>649</v>
      </c>
      <c r="B16" t="s">
        <v>650</v>
      </c>
    </row>
    <row r="17" spans="1:2">
      <c r="B17" t="s">
        <v>658</v>
      </c>
    </row>
    <row r="18" spans="1:2">
      <c r="A18" t="s">
        <v>651</v>
      </c>
      <c r="B18" t="s">
        <v>652</v>
      </c>
    </row>
    <row r="19" spans="1:2">
      <c r="A19" t="s">
        <v>657</v>
      </c>
      <c r="B19" t="s">
        <v>656</v>
      </c>
    </row>
    <row r="20" spans="1:2">
      <c r="A20" t="s">
        <v>654</v>
      </c>
      <c r="B20" t="s">
        <v>653</v>
      </c>
    </row>
    <row r="21" spans="1:2">
      <c r="A21" t="s">
        <v>406</v>
      </c>
      <c r="B21" t="s">
        <v>655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51C83-D621-46FF-871C-82BDAD5480FD}">
  <dimension ref="B2:T31"/>
  <sheetViews>
    <sheetView rightToLeft="1" workbookViewId="0">
      <selection activeCell="R19" sqref="R19"/>
    </sheetView>
  </sheetViews>
  <sheetFormatPr defaultRowHeight="14.4"/>
  <cols>
    <col min="13" max="13" width="14.77734375" customWidth="1"/>
    <col min="14" max="14" width="16.77734375" customWidth="1"/>
    <col min="15" max="15" width="17.109375" customWidth="1"/>
  </cols>
  <sheetData>
    <row r="2" spans="2:20">
      <c r="B2" t="s">
        <v>897</v>
      </c>
      <c r="R2" t="s">
        <v>829</v>
      </c>
    </row>
    <row r="3" spans="2:20">
      <c r="B3" t="s">
        <v>857</v>
      </c>
      <c r="R3" t="s">
        <v>832</v>
      </c>
    </row>
    <row r="4" spans="2:20">
      <c r="B4" t="s">
        <v>806</v>
      </c>
    </row>
    <row r="5" spans="2:20">
      <c r="B5" t="s">
        <v>896</v>
      </c>
      <c r="R5" t="s">
        <v>836</v>
      </c>
    </row>
    <row r="6" spans="2:20">
      <c r="R6" t="s">
        <v>840</v>
      </c>
    </row>
    <row r="7" spans="2:20">
      <c r="B7" t="s">
        <v>807</v>
      </c>
      <c r="R7" t="s">
        <v>844</v>
      </c>
    </row>
    <row r="8" spans="2:20">
      <c r="R8" t="s">
        <v>845</v>
      </c>
    </row>
    <row r="9" spans="2:20" ht="72.599999999999994">
      <c r="K9" s="60" t="s">
        <v>843</v>
      </c>
      <c r="L9" t="s">
        <v>830</v>
      </c>
      <c r="M9" s="59" t="s">
        <v>831</v>
      </c>
      <c r="N9" s="5" t="s">
        <v>834</v>
      </c>
      <c r="O9" s="59" t="s">
        <v>846</v>
      </c>
      <c r="P9" s="5" t="s">
        <v>847</v>
      </c>
    </row>
    <row r="10" spans="2:20">
      <c r="B10" t="s">
        <v>808</v>
      </c>
      <c r="J10" t="s">
        <v>821</v>
      </c>
      <c r="K10">
        <v>90</v>
      </c>
      <c r="L10">
        <v>68</v>
      </c>
      <c r="M10">
        <v>82</v>
      </c>
      <c r="N10" s="58" t="s">
        <v>838</v>
      </c>
      <c r="O10" t="s">
        <v>850</v>
      </c>
      <c r="P10" t="s">
        <v>851</v>
      </c>
    </row>
    <row r="11" spans="2:20">
      <c r="J11" t="s">
        <v>822</v>
      </c>
      <c r="K11">
        <v>58</v>
      </c>
      <c r="L11">
        <v>51</v>
      </c>
      <c r="M11" s="57" t="s">
        <v>833</v>
      </c>
      <c r="N11" s="57" t="s">
        <v>835</v>
      </c>
      <c r="O11" t="s">
        <v>848</v>
      </c>
      <c r="P11" t="s">
        <v>849</v>
      </c>
      <c r="T11" t="s">
        <v>852</v>
      </c>
    </row>
    <row r="12" spans="2:20">
      <c r="J12" t="s">
        <v>823</v>
      </c>
      <c r="K12">
        <v>81</v>
      </c>
      <c r="L12">
        <v>61</v>
      </c>
      <c r="M12">
        <v>65</v>
      </c>
      <c r="N12" s="58" t="s">
        <v>839</v>
      </c>
      <c r="O12" t="s">
        <v>854</v>
      </c>
      <c r="P12">
        <v>48</v>
      </c>
      <c r="T12" t="s">
        <v>853</v>
      </c>
    </row>
    <row r="13" spans="2:20">
      <c r="J13" t="s">
        <v>824</v>
      </c>
      <c r="K13">
        <v>93</v>
      </c>
      <c r="L13">
        <v>71</v>
      </c>
      <c r="M13">
        <v>87</v>
      </c>
      <c r="N13" s="58" t="s">
        <v>841</v>
      </c>
      <c r="O13" t="s">
        <v>856</v>
      </c>
      <c r="P13">
        <v>75</v>
      </c>
    </row>
    <row r="14" spans="2:20">
      <c r="B14" s="58" t="s">
        <v>809</v>
      </c>
      <c r="J14" t="s">
        <v>825</v>
      </c>
      <c r="K14">
        <v>63</v>
      </c>
      <c r="L14">
        <v>63</v>
      </c>
      <c r="M14">
        <v>81</v>
      </c>
      <c r="N14" s="57" t="s">
        <v>837</v>
      </c>
      <c r="O14" t="s">
        <v>855</v>
      </c>
      <c r="P14">
        <v>45</v>
      </c>
    </row>
    <row r="15" spans="2:20">
      <c r="B15" t="s">
        <v>810</v>
      </c>
      <c r="J15" t="s">
        <v>826</v>
      </c>
      <c r="K15">
        <v>54</v>
      </c>
      <c r="L15">
        <v>38</v>
      </c>
      <c r="M15">
        <v>51</v>
      </c>
      <c r="N15" s="58" t="s">
        <v>842</v>
      </c>
    </row>
    <row r="16" spans="2:20">
      <c r="B16" t="s">
        <v>811</v>
      </c>
      <c r="J16" t="s">
        <v>827</v>
      </c>
      <c r="L16">
        <v>17</v>
      </c>
    </row>
    <row r="17" spans="2:15">
      <c r="J17" t="s">
        <v>828</v>
      </c>
      <c r="L17">
        <v>65</v>
      </c>
    </row>
    <row r="20" spans="2:15">
      <c r="B20" t="s">
        <v>812</v>
      </c>
    </row>
    <row r="22" spans="2:15">
      <c r="O22" t="s">
        <v>813</v>
      </c>
    </row>
    <row r="23" spans="2:15">
      <c r="O23" t="s">
        <v>814</v>
      </c>
    </row>
    <row r="24" spans="2:15">
      <c r="O24" t="s">
        <v>815</v>
      </c>
    </row>
    <row r="25" spans="2:15">
      <c r="O25" t="s">
        <v>816</v>
      </c>
    </row>
    <row r="26" spans="2:15">
      <c r="O26" t="s">
        <v>817</v>
      </c>
    </row>
    <row r="27" spans="2:15">
      <c r="O27" t="s">
        <v>818</v>
      </c>
    </row>
    <row r="29" spans="2:15">
      <c r="O29" s="14" t="s">
        <v>819</v>
      </c>
    </row>
    <row r="31" spans="2:15">
      <c r="O31" t="s">
        <v>820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832A-DBF2-45FA-8E41-3FB9FF4AFB94}">
  <dimension ref="A1:G32"/>
  <sheetViews>
    <sheetView rightToLeft="1" workbookViewId="0"/>
  </sheetViews>
  <sheetFormatPr defaultRowHeight="14.4"/>
  <cols>
    <col min="1" max="1" width="18.6640625" customWidth="1"/>
    <col min="2" max="2" width="96.21875" customWidth="1"/>
    <col min="3" max="3" width="40.33203125" customWidth="1"/>
    <col min="4" max="5" width="40.6640625" customWidth="1"/>
  </cols>
  <sheetData>
    <row r="1" spans="1:7">
      <c r="A1" s="14" t="s">
        <v>875</v>
      </c>
      <c r="B1" s="14" t="s">
        <v>880</v>
      </c>
      <c r="C1" s="14" t="s">
        <v>881</v>
      </c>
      <c r="D1" s="14" t="s">
        <v>882</v>
      </c>
    </row>
    <row r="2" spans="1:7" ht="187.2">
      <c r="A2" s="5" t="s">
        <v>415</v>
      </c>
      <c r="B2" s="5" t="s">
        <v>1006</v>
      </c>
      <c r="C2" s="5" t="s">
        <v>1007</v>
      </c>
      <c r="D2" s="5" t="s">
        <v>908</v>
      </c>
    </row>
    <row r="3" spans="1:7" ht="86.4">
      <c r="A3" s="5" t="s">
        <v>876</v>
      </c>
      <c r="B3" t="s">
        <v>888</v>
      </c>
      <c r="C3" s="5" t="s">
        <v>1023</v>
      </c>
      <c r="D3" s="61" t="s">
        <v>911</v>
      </c>
      <c r="G3" s="14"/>
    </row>
    <row r="4" spans="1:7" ht="57.6">
      <c r="A4" t="s">
        <v>426</v>
      </c>
      <c r="B4" t="s">
        <v>889</v>
      </c>
      <c r="C4" s="5" t="s">
        <v>890</v>
      </c>
      <c r="D4" s="5" t="s">
        <v>910</v>
      </c>
    </row>
    <row r="5" spans="1:7" ht="28.8">
      <c r="A5" t="s">
        <v>693</v>
      </c>
      <c r="B5" t="s">
        <v>884</v>
      </c>
      <c r="C5" t="s">
        <v>885</v>
      </c>
      <c r="D5" s="5" t="s">
        <v>891</v>
      </c>
    </row>
    <row r="6" spans="1:7" ht="28.8">
      <c r="A6" t="s">
        <v>429</v>
      </c>
      <c r="B6" t="s">
        <v>887</v>
      </c>
      <c r="C6" s="5" t="s">
        <v>886</v>
      </c>
      <c r="D6" t="s">
        <v>883</v>
      </c>
    </row>
    <row r="7" spans="1:7" ht="43.2">
      <c r="A7" t="s">
        <v>877</v>
      </c>
      <c r="B7" s="5" t="s">
        <v>1024</v>
      </c>
      <c r="C7" s="5" t="s">
        <v>893</v>
      </c>
      <c r="D7" s="5" t="s">
        <v>892</v>
      </c>
    </row>
    <row r="8" spans="1:7" ht="115.2">
      <c r="A8" t="s">
        <v>878</v>
      </c>
      <c r="B8" s="5" t="s">
        <v>1020</v>
      </c>
      <c r="C8" s="5" t="s">
        <v>894</v>
      </c>
      <c r="D8" s="5" t="s">
        <v>895</v>
      </c>
    </row>
    <row r="9" spans="1:7" ht="144">
      <c r="A9" s="58" t="s">
        <v>867</v>
      </c>
      <c r="B9" s="5" t="s">
        <v>906</v>
      </c>
      <c r="C9" s="5" t="s">
        <v>907</v>
      </c>
      <c r="D9" s="5" t="s">
        <v>1003</v>
      </c>
    </row>
    <row r="10" spans="1:7" ht="115.2">
      <c r="A10" t="s">
        <v>874</v>
      </c>
      <c r="B10" t="s">
        <v>898</v>
      </c>
      <c r="C10" s="5" t="s">
        <v>1004</v>
      </c>
      <c r="D10" s="5" t="s">
        <v>899</v>
      </c>
    </row>
    <row r="11" spans="1:7">
      <c r="A11" t="s">
        <v>10</v>
      </c>
      <c r="B11" t="s">
        <v>898</v>
      </c>
      <c r="C11" s="5" t="s">
        <v>900</v>
      </c>
    </row>
    <row r="12" spans="1:7">
      <c r="A12" t="s">
        <v>384</v>
      </c>
      <c r="B12" t="s">
        <v>898</v>
      </c>
      <c r="C12" s="5" t="s">
        <v>260</v>
      </c>
    </row>
    <row r="13" spans="1:7" ht="43.2">
      <c r="A13" t="s">
        <v>879</v>
      </c>
      <c r="B13" s="5" t="s">
        <v>1158</v>
      </c>
      <c r="C13" s="5" t="s">
        <v>901</v>
      </c>
      <c r="D13" s="5" t="s">
        <v>899</v>
      </c>
    </row>
    <row r="14" spans="1:7" ht="158.4">
      <c r="A14" t="s">
        <v>438</v>
      </c>
      <c r="B14" s="5" t="s">
        <v>1002</v>
      </c>
      <c r="C14" s="5" t="s">
        <v>999</v>
      </c>
      <c r="D14" s="5" t="s">
        <v>1005</v>
      </c>
    </row>
    <row r="18" spans="1:2" ht="201.6">
      <c r="A18" t="s">
        <v>909</v>
      </c>
      <c r="B18" s="5" t="s">
        <v>1018</v>
      </c>
    </row>
    <row r="19" spans="1:2" ht="28.8">
      <c r="B19" s="5" t="s">
        <v>1016</v>
      </c>
    </row>
    <row r="20" spans="1:2">
      <c r="B20" t="s">
        <v>1017</v>
      </c>
    </row>
    <row r="21" spans="1:2">
      <c r="B21" t="s">
        <v>1019</v>
      </c>
    </row>
    <row r="23" spans="1:2">
      <c r="A23" s="14"/>
    </row>
    <row r="26" spans="1:2">
      <c r="A26" s="14" t="s">
        <v>904</v>
      </c>
    </row>
    <row r="27" spans="1:2">
      <c r="A27" t="s">
        <v>859</v>
      </c>
    </row>
    <row r="28" spans="1:2">
      <c r="A28" t="s">
        <v>858</v>
      </c>
    </row>
    <row r="29" spans="1:2">
      <c r="A29" t="s">
        <v>902</v>
      </c>
    </row>
    <row r="30" spans="1:2">
      <c r="A30" t="s">
        <v>903</v>
      </c>
    </row>
    <row r="32" spans="1:2">
      <c r="A32" s="14" t="s">
        <v>905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26E2-2FEB-428C-8A2B-44341C3C4297}">
  <dimension ref="B1:P37"/>
  <sheetViews>
    <sheetView rightToLeft="1" topLeftCell="C10" workbookViewId="0">
      <selection activeCell="J15" sqref="J15"/>
    </sheetView>
  </sheetViews>
  <sheetFormatPr defaultRowHeight="14.4"/>
  <cols>
    <col min="2" max="2" width="16.44140625" customWidth="1"/>
    <col min="3" max="3" width="24.33203125" customWidth="1"/>
    <col min="4" max="4" width="34.5546875" customWidth="1"/>
    <col min="5" max="5" width="38.21875" customWidth="1"/>
  </cols>
  <sheetData>
    <row r="1" spans="2:16">
      <c r="B1" s="62" t="s">
        <v>912</v>
      </c>
      <c r="C1" s="62" t="s">
        <v>913</v>
      </c>
      <c r="D1" s="62" t="s">
        <v>151</v>
      </c>
      <c r="E1" s="62" t="s">
        <v>213</v>
      </c>
      <c r="G1" s="62" t="s">
        <v>961</v>
      </c>
    </row>
    <row r="2" spans="2:16" ht="28.8">
      <c r="B2" s="63" t="s">
        <v>914</v>
      </c>
      <c r="C2" s="63" t="s">
        <v>915</v>
      </c>
      <c r="D2" s="63" t="s">
        <v>916</v>
      </c>
      <c r="E2" s="63">
        <v>4</v>
      </c>
      <c r="G2" s="65" t="s">
        <v>962</v>
      </c>
    </row>
    <row r="3" spans="2:16" ht="28.8">
      <c r="B3" s="63" t="s">
        <v>917</v>
      </c>
      <c r="C3" s="63" t="s">
        <v>918</v>
      </c>
      <c r="D3" s="63" t="s">
        <v>919</v>
      </c>
      <c r="E3" s="63" t="s">
        <v>920</v>
      </c>
      <c r="G3" s="63" t="s">
        <v>963</v>
      </c>
    </row>
    <row r="4" spans="2:16" ht="28.8">
      <c r="B4" s="63" t="s">
        <v>921</v>
      </c>
      <c r="C4" s="63" t="s">
        <v>922</v>
      </c>
      <c r="D4" s="63" t="s">
        <v>923</v>
      </c>
      <c r="E4" s="63" t="s">
        <v>924</v>
      </c>
      <c r="G4" s="63" t="s">
        <v>964</v>
      </c>
    </row>
    <row r="5" spans="2:16" ht="28.8">
      <c r="B5" s="63" t="s">
        <v>925</v>
      </c>
      <c r="C5" s="63" t="s">
        <v>926</v>
      </c>
      <c r="D5" s="63" t="s">
        <v>927</v>
      </c>
      <c r="E5" s="63" t="s">
        <v>924</v>
      </c>
      <c r="G5" s="63" t="s">
        <v>964</v>
      </c>
    </row>
    <row r="6" spans="2:16" ht="57.6">
      <c r="B6" s="63" t="s">
        <v>928</v>
      </c>
      <c r="C6" s="63" t="s">
        <v>929</v>
      </c>
      <c r="D6" s="63" t="s">
        <v>930</v>
      </c>
      <c r="E6" s="63" t="s">
        <v>931</v>
      </c>
      <c r="G6" s="63" t="s">
        <v>965</v>
      </c>
    </row>
    <row r="7" spans="2:16" ht="28.8">
      <c r="B7" s="63" t="s">
        <v>932</v>
      </c>
      <c r="C7" s="63" t="s">
        <v>933</v>
      </c>
      <c r="D7" s="63" t="s">
        <v>934</v>
      </c>
      <c r="E7" s="63" t="s">
        <v>935</v>
      </c>
      <c r="G7" s="63" t="s">
        <v>966</v>
      </c>
    </row>
    <row r="8" spans="2:16" ht="43.2">
      <c r="B8" s="63" t="s">
        <v>936</v>
      </c>
      <c r="C8" s="63" t="s">
        <v>937</v>
      </c>
      <c r="D8" s="63" t="s">
        <v>938</v>
      </c>
      <c r="E8" s="63" t="s">
        <v>939</v>
      </c>
      <c r="G8" s="63" t="s">
        <v>967</v>
      </c>
    </row>
    <row r="9" spans="2:16" ht="43.2">
      <c r="B9" s="63" t="s">
        <v>940</v>
      </c>
      <c r="C9" s="63" t="s">
        <v>941</v>
      </c>
      <c r="D9" s="63" t="s">
        <v>942</v>
      </c>
      <c r="E9" s="63" t="s">
        <v>943</v>
      </c>
      <c r="G9" s="63" t="s">
        <v>968</v>
      </c>
    </row>
    <row r="10" spans="2:16" ht="43.2">
      <c r="B10" s="63" t="s">
        <v>944</v>
      </c>
      <c r="C10" s="63" t="s">
        <v>945</v>
      </c>
      <c r="D10" s="63" t="s">
        <v>946</v>
      </c>
      <c r="E10" s="63" t="s">
        <v>947</v>
      </c>
      <c r="G10" s="63" t="s">
        <v>969</v>
      </c>
    </row>
    <row r="11" spans="2:16" ht="28.8">
      <c r="B11" s="63" t="s">
        <v>948</v>
      </c>
      <c r="C11" s="63" t="s">
        <v>949</v>
      </c>
      <c r="D11" s="63" t="s">
        <v>950</v>
      </c>
      <c r="E11" s="63" t="s">
        <v>924</v>
      </c>
    </row>
    <row r="12" spans="2:16" ht="28.8">
      <c r="B12" s="63" t="s">
        <v>951</v>
      </c>
      <c r="C12" s="63" t="s">
        <v>952</v>
      </c>
      <c r="D12" s="63" t="s">
        <v>953</v>
      </c>
      <c r="E12" s="63" t="s">
        <v>954</v>
      </c>
    </row>
    <row r="14" spans="2:16">
      <c r="F14" t="s">
        <v>961</v>
      </c>
      <c r="G14" t="s">
        <v>983</v>
      </c>
      <c r="H14" t="s">
        <v>823</v>
      </c>
      <c r="I14" t="s">
        <v>985</v>
      </c>
      <c r="J14" t="s">
        <v>822</v>
      </c>
      <c r="K14" t="s">
        <v>986</v>
      </c>
      <c r="L14" t="s">
        <v>987</v>
      </c>
      <c r="M14" t="s">
        <v>824</v>
      </c>
      <c r="N14" t="s">
        <v>828</v>
      </c>
      <c r="P14" t="s">
        <v>988</v>
      </c>
    </row>
    <row r="15" spans="2:16">
      <c r="B15" s="64" t="s">
        <v>960</v>
      </c>
      <c r="D15">
        <v>80</v>
      </c>
      <c r="E15" s="63" t="s">
        <v>970</v>
      </c>
      <c r="F15" s="14">
        <v>78</v>
      </c>
      <c r="G15" s="14">
        <v>94</v>
      </c>
      <c r="H15" s="14">
        <v>91</v>
      </c>
      <c r="I15" s="14">
        <v>84</v>
      </c>
      <c r="J15" s="14">
        <v>86</v>
      </c>
      <c r="K15" s="14">
        <v>79</v>
      </c>
      <c r="L15" s="14">
        <v>66</v>
      </c>
      <c r="M15" s="14">
        <v>80</v>
      </c>
      <c r="N15" s="14">
        <v>74</v>
      </c>
      <c r="O15">
        <v>100</v>
      </c>
      <c r="P15">
        <v>50</v>
      </c>
    </row>
    <row r="16" spans="2:16">
      <c r="C16" t="s">
        <v>955</v>
      </c>
      <c r="E16" s="63" t="s">
        <v>971</v>
      </c>
      <c r="F16">
        <v>92</v>
      </c>
      <c r="G16">
        <v>86</v>
      </c>
      <c r="H16">
        <v>68</v>
      </c>
      <c r="I16">
        <v>90</v>
      </c>
      <c r="J16">
        <v>94</v>
      </c>
      <c r="K16">
        <v>82</v>
      </c>
      <c r="L16">
        <v>74</v>
      </c>
      <c r="M16">
        <v>96</v>
      </c>
      <c r="N16">
        <v>78</v>
      </c>
      <c r="O16">
        <v>100</v>
      </c>
      <c r="P16">
        <v>60</v>
      </c>
    </row>
    <row r="17" spans="3:16">
      <c r="C17" t="s">
        <v>956</v>
      </c>
      <c r="D17">
        <v>84</v>
      </c>
      <c r="E17" s="63" t="s">
        <v>984</v>
      </c>
      <c r="F17" s="14">
        <v>84</v>
      </c>
      <c r="G17" s="14">
        <v>95</v>
      </c>
      <c r="H17" s="14">
        <v>94</v>
      </c>
      <c r="I17" s="14">
        <v>82</v>
      </c>
      <c r="J17" s="14">
        <v>82</v>
      </c>
      <c r="K17" s="14">
        <v>58</v>
      </c>
      <c r="L17" s="14">
        <v>72</v>
      </c>
      <c r="M17" s="14">
        <v>84</v>
      </c>
      <c r="N17" s="14">
        <v>76</v>
      </c>
      <c r="O17">
        <v>100</v>
      </c>
      <c r="P17">
        <v>50</v>
      </c>
    </row>
    <row r="18" spans="3:16">
      <c r="C18" t="s">
        <v>957</v>
      </c>
      <c r="E18" s="63" t="s">
        <v>972</v>
      </c>
      <c r="F18">
        <v>52</v>
      </c>
      <c r="G18">
        <v>93</v>
      </c>
      <c r="H18">
        <v>88</v>
      </c>
      <c r="I18">
        <v>68</v>
      </c>
      <c r="J18">
        <v>58</v>
      </c>
      <c r="K18">
        <v>48</v>
      </c>
      <c r="L18">
        <v>42</v>
      </c>
      <c r="M18">
        <v>46</v>
      </c>
      <c r="N18">
        <v>52</v>
      </c>
      <c r="O18">
        <v>100</v>
      </c>
      <c r="P18">
        <v>30</v>
      </c>
    </row>
    <row r="19" spans="3:16">
      <c r="C19" t="s">
        <v>958</v>
      </c>
      <c r="E19" s="63" t="s">
        <v>973</v>
      </c>
      <c r="F19">
        <v>88</v>
      </c>
      <c r="G19">
        <v>78</v>
      </c>
      <c r="H19">
        <v>74</v>
      </c>
      <c r="I19">
        <v>92</v>
      </c>
      <c r="J19">
        <v>95</v>
      </c>
      <c r="K19">
        <v>93</v>
      </c>
      <c r="L19">
        <v>88</v>
      </c>
      <c r="M19">
        <v>97</v>
      </c>
      <c r="N19">
        <v>88</v>
      </c>
      <c r="O19">
        <v>100</v>
      </c>
      <c r="P19">
        <v>70</v>
      </c>
    </row>
    <row r="20" spans="3:16">
      <c r="C20" t="s">
        <v>959</v>
      </c>
      <c r="D20">
        <v>72</v>
      </c>
      <c r="E20" s="63" t="s">
        <v>974</v>
      </c>
      <c r="F20" s="14">
        <v>58</v>
      </c>
      <c r="G20" s="14">
        <v>90</v>
      </c>
      <c r="H20" s="14">
        <v>89</v>
      </c>
      <c r="I20" s="14">
        <v>83</v>
      </c>
      <c r="J20" s="14">
        <v>76</v>
      </c>
      <c r="K20" s="14">
        <v>84</v>
      </c>
      <c r="L20" s="14">
        <v>58</v>
      </c>
      <c r="M20" s="14">
        <v>72</v>
      </c>
      <c r="N20" s="14">
        <v>62</v>
      </c>
      <c r="O20">
        <v>100</v>
      </c>
      <c r="P20">
        <v>40</v>
      </c>
    </row>
    <row r="21" spans="3:16">
      <c r="E21" s="63" t="s">
        <v>975</v>
      </c>
      <c r="F21">
        <v>64</v>
      </c>
      <c r="G21">
        <v>96</v>
      </c>
      <c r="H21">
        <v>90</v>
      </c>
      <c r="I21">
        <v>72</v>
      </c>
      <c r="J21">
        <v>66</v>
      </c>
      <c r="K21">
        <v>74</v>
      </c>
      <c r="L21">
        <v>54</v>
      </c>
      <c r="M21">
        <v>58</v>
      </c>
      <c r="N21">
        <v>68</v>
      </c>
      <c r="O21">
        <v>100</v>
      </c>
      <c r="P21">
        <v>40</v>
      </c>
    </row>
    <row r="22" spans="3:16">
      <c r="E22" s="63" t="s">
        <v>944</v>
      </c>
      <c r="F22">
        <v>38</v>
      </c>
      <c r="G22">
        <v>42</v>
      </c>
      <c r="H22">
        <v>58</v>
      </c>
      <c r="I22">
        <v>72</v>
      </c>
      <c r="J22">
        <v>48</v>
      </c>
      <c r="K22">
        <v>22</v>
      </c>
      <c r="L22">
        <v>36</v>
      </c>
      <c r="M22">
        <v>42</v>
      </c>
      <c r="N22">
        <v>58</v>
      </c>
    </row>
    <row r="24" spans="3:16">
      <c r="E24" t="s">
        <v>976</v>
      </c>
      <c r="F24" t="s">
        <v>1000</v>
      </c>
    </row>
    <row r="25" spans="3:16">
      <c r="E25" t="s">
        <v>977</v>
      </c>
      <c r="N25" t="s">
        <v>989</v>
      </c>
      <c r="O25" t="s">
        <v>995</v>
      </c>
    </row>
    <row r="26" spans="3:16">
      <c r="E26" t="s">
        <v>978</v>
      </c>
      <c r="N26" t="s">
        <v>990</v>
      </c>
    </row>
    <row r="27" spans="3:16">
      <c r="E27" t="s">
        <v>979</v>
      </c>
      <c r="F27" t="s">
        <v>1001</v>
      </c>
      <c r="N27" t="s">
        <v>991</v>
      </c>
    </row>
    <row r="28" spans="3:16">
      <c r="E28" t="s">
        <v>980</v>
      </c>
      <c r="N28" t="s">
        <v>992</v>
      </c>
    </row>
    <row r="29" spans="3:16">
      <c r="E29" t="s">
        <v>981</v>
      </c>
      <c r="N29" t="s">
        <v>993</v>
      </c>
    </row>
    <row r="30" spans="3:16">
      <c r="E30" t="s">
        <v>982</v>
      </c>
      <c r="N30" t="s">
        <v>994</v>
      </c>
    </row>
    <row r="34" spans="2:2">
      <c r="B34" t="s">
        <v>997</v>
      </c>
    </row>
    <row r="35" spans="2:2">
      <c r="B35" t="s">
        <v>998</v>
      </c>
    </row>
    <row r="36" spans="2:2">
      <c r="B36" t="s">
        <v>996</v>
      </c>
    </row>
    <row r="37" spans="2:2">
      <c r="B37">
        <v>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9E50-A761-4208-AC1F-7EE61CFDD025}">
  <dimension ref="A1:I27"/>
  <sheetViews>
    <sheetView rightToLeft="1" topLeftCell="A8" workbookViewId="0">
      <selection activeCell="F18" sqref="F18"/>
    </sheetView>
  </sheetViews>
  <sheetFormatPr defaultRowHeight="14.4"/>
  <cols>
    <col min="1" max="1" width="18.44140625" customWidth="1"/>
    <col min="2" max="2" width="18.88671875" customWidth="1"/>
    <col min="3" max="3" width="16.77734375" customWidth="1"/>
    <col min="4" max="4" width="14" customWidth="1"/>
    <col min="5" max="6" width="19.44140625" customWidth="1"/>
    <col min="7" max="7" width="39.88671875" customWidth="1"/>
    <col min="8" max="8" width="28.44140625" customWidth="1"/>
    <col min="9" max="9" width="29.77734375" customWidth="1"/>
  </cols>
  <sheetData>
    <row r="1" spans="1:9">
      <c r="A1" s="4" t="s">
        <v>102</v>
      </c>
      <c r="B1" s="8"/>
      <c r="C1" s="8"/>
      <c r="D1" s="8"/>
      <c r="E1" s="8"/>
      <c r="F1" s="8"/>
      <c r="G1" s="8"/>
      <c r="H1" s="8"/>
      <c r="I1" s="8"/>
    </row>
    <row r="3" spans="1:9">
      <c r="A3" s="10" t="s">
        <v>65</v>
      </c>
      <c r="B3" s="10" t="s">
        <v>66</v>
      </c>
      <c r="C3" s="10" t="s">
        <v>57</v>
      </c>
      <c r="D3" s="10" t="s">
        <v>2</v>
      </c>
      <c r="E3" s="10" t="s">
        <v>108</v>
      </c>
      <c r="F3" s="10" t="s">
        <v>119</v>
      </c>
      <c r="G3" s="10" t="s">
        <v>59</v>
      </c>
      <c r="H3" s="10" t="s">
        <v>245</v>
      </c>
      <c r="I3" s="10" t="s">
        <v>105</v>
      </c>
    </row>
    <row r="4" spans="1:9">
      <c r="A4" s="11" t="s">
        <v>69</v>
      </c>
      <c r="B4" s="11" t="s">
        <v>62</v>
      </c>
      <c r="D4" s="5"/>
      <c r="E4" s="11" t="s">
        <v>67</v>
      </c>
      <c r="F4" s="11"/>
      <c r="G4" s="11" t="s">
        <v>68</v>
      </c>
      <c r="H4" s="11"/>
      <c r="I4" s="8"/>
    </row>
    <row r="5" spans="1:9">
      <c r="A5" s="11" t="s">
        <v>71</v>
      </c>
      <c r="B5" s="11" t="s">
        <v>72</v>
      </c>
      <c r="C5" s="11" t="s">
        <v>8</v>
      </c>
      <c r="D5" s="5"/>
      <c r="E5" s="5" t="s">
        <v>109</v>
      </c>
      <c r="F5" s="5"/>
      <c r="G5" s="11" t="s">
        <v>70</v>
      </c>
      <c r="H5" s="11"/>
      <c r="I5" s="8"/>
    </row>
    <row r="6" spans="1:9" ht="43.2">
      <c r="A6" s="11" t="s">
        <v>73</v>
      </c>
      <c r="B6" s="11" t="s">
        <v>74</v>
      </c>
      <c r="C6" s="11" t="s">
        <v>8</v>
      </c>
      <c r="D6" s="5"/>
      <c r="E6" s="5" t="s">
        <v>109</v>
      </c>
      <c r="F6" s="5" t="s">
        <v>120</v>
      </c>
      <c r="G6" s="11" t="s">
        <v>73</v>
      </c>
      <c r="H6" s="11" t="s">
        <v>280</v>
      </c>
      <c r="I6" s="5"/>
    </row>
    <row r="7" spans="1:9" ht="43.2">
      <c r="A7" s="11" t="s">
        <v>75</v>
      </c>
      <c r="B7" s="11" t="s">
        <v>76</v>
      </c>
      <c r="C7" s="11" t="s">
        <v>8</v>
      </c>
      <c r="D7" s="5" t="s">
        <v>103</v>
      </c>
      <c r="E7" s="5" t="s">
        <v>109</v>
      </c>
      <c r="F7" s="5" t="s">
        <v>120</v>
      </c>
      <c r="G7" s="11" t="s">
        <v>75</v>
      </c>
      <c r="H7" s="11" t="s">
        <v>281</v>
      </c>
      <c r="I7" s="5" t="s">
        <v>268</v>
      </c>
    </row>
    <row r="8" spans="1:9" ht="72">
      <c r="A8" s="11" t="s">
        <v>78</v>
      </c>
      <c r="B8" s="11" t="s">
        <v>79</v>
      </c>
      <c r="C8" s="11" t="s">
        <v>8</v>
      </c>
      <c r="D8" s="5" t="s">
        <v>104</v>
      </c>
      <c r="E8" s="5" t="s">
        <v>109</v>
      </c>
      <c r="F8" s="5" t="s">
        <v>120</v>
      </c>
      <c r="G8" s="11" t="s">
        <v>77</v>
      </c>
      <c r="H8" s="11" t="s">
        <v>246</v>
      </c>
      <c r="I8" s="11" t="s">
        <v>287</v>
      </c>
    </row>
    <row r="9" spans="1:9" ht="28.8">
      <c r="A9" s="11" t="s">
        <v>106</v>
      </c>
      <c r="B9" s="11" t="s">
        <v>107</v>
      </c>
      <c r="C9" s="11" t="s">
        <v>8</v>
      </c>
      <c r="D9" s="5"/>
      <c r="E9" s="5" t="s">
        <v>110</v>
      </c>
      <c r="F9" s="5" t="s">
        <v>120</v>
      </c>
      <c r="G9" s="11" t="s">
        <v>106</v>
      </c>
      <c r="H9" s="11"/>
      <c r="I9" s="11" t="s">
        <v>288</v>
      </c>
    </row>
    <row r="10" spans="1:9" ht="100.8">
      <c r="A10" s="11" t="s">
        <v>80</v>
      </c>
      <c r="B10" s="11" t="s">
        <v>81</v>
      </c>
      <c r="C10" s="11" t="s">
        <v>8</v>
      </c>
      <c r="D10" s="5"/>
      <c r="E10" s="5" t="s">
        <v>109</v>
      </c>
      <c r="F10" s="5"/>
      <c r="G10" s="11" t="s">
        <v>80</v>
      </c>
      <c r="H10" s="11" t="s">
        <v>264</v>
      </c>
      <c r="I10" s="5"/>
    </row>
    <row r="11" spans="1:9" ht="43.2">
      <c r="A11" s="11" t="s">
        <v>63</v>
      </c>
      <c r="B11" s="11" t="s">
        <v>82</v>
      </c>
      <c r="C11" s="11" t="s">
        <v>8</v>
      </c>
      <c r="D11" s="5"/>
      <c r="E11" s="5" t="s">
        <v>109</v>
      </c>
      <c r="F11" s="5" t="s">
        <v>121</v>
      </c>
      <c r="G11" s="11" t="s">
        <v>63</v>
      </c>
      <c r="H11" s="11" t="s">
        <v>282</v>
      </c>
      <c r="I11" s="5"/>
    </row>
    <row r="12" spans="1:9" ht="72">
      <c r="A12" s="11" t="s">
        <v>84</v>
      </c>
      <c r="B12" s="11" t="s">
        <v>85</v>
      </c>
      <c r="D12" s="5" t="s">
        <v>273</v>
      </c>
      <c r="E12" s="11" t="s">
        <v>111</v>
      </c>
      <c r="F12" s="11" t="s">
        <v>265</v>
      </c>
      <c r="G12" s="11" t="s">
        <v>83</v>
      </c>
      <c r="H12" s="31"/>
      <c r="I12" s="30" t="s">
        <v>274</v>
      </c>
    </row>
    <row r="13" spans="1:9" ht="43.2">
      <c r="A13" s="11" t="s">
        <v>87</v>
      </c>
      <c r="B13" s="11" t="s">
        <v>88</v>
      </c>
      <c r="D13" s="5"/>
      <c r="E13" s="11" t="s">
        <v>67</v>
      </c>
      <c r="F13" s="11" t="s">
        <v>265</v>
      </c>
      <c r="G13" s="11" t="s">
        <v>86</v>
      </c>
      <c r="H13" s="11"/>
      <c r="I13" s="8"/>
    </row>
    <row r="14" spans="1:9" ht="115.2">
      <c r="A14" s="11" t="s">
        <v>89</v>
      </c>
      <c r="B14" s="11" t="s">
        <v>90</v>
      </c>
      <c r="D14" s="5"/>
      <c r="E14" s="11" t="s">
        <v>111</v>
      </c>
      <c r="F14" s="11" t="s">
        <v>265</v>
      </c>
      <c r="G14" s="11" t="s">
        <v>283</v>
      </c>
      <c r="H14" s="11" t="s">
        <v>347</v>
      </c>
      <c r="I14" s="11"/>
    </row>
    <row r="15" spans="1:9" ht="28.8">
      <c r="A15" s="11" t="s">
        <v>91</v>
      </c>
      <c r="B15" s="11" t="s">
        <v>92</v>
      </c>
      <c r="C15" s="11" t="s">
        <v>9</v>
      </c>
      <c r="D15" s="5"/>
      <c r="E15" s="5" t="s">
        <v>111</v>
      </c>
      <c r="F15" s="5" t="s">
        <v>123</v>
      </c>
      <c r="G15" s="11" t="s">
        <v>284</v>
      </c>
      <c r="H15" s="11"/>
      <c r="I15" s="11"/>
    </row>
    <row r="16" spans="1:9">
      <c r="A16" s="11" t="s">
        <v>94</v>
      </c>
      <c r="B16" s="11" t="s">
        <v>95</v>
      </c>
      <c r="C16" s="11" t="s">
        <v>8</v>
      </c>
      <c r="D16" s="5"/>
      <c r="E16" s="5" t="s">
        <v>67</v>
      </c>
      <c r="F16" s="5"/>
      <c r="G16" s="11" t="s">
        <v>93</v>
      </c>
      <c r="H16" s="11"/>
      <c r="I16" s="30" t="s">
        <v>267</v>
      </c>
    </row>
    <row r="17" spans="1:9">
      <c r="A17" s="11" t="s">
        <v>97</v>
      </c>
      <c r="B17" s="11" t="s">
        <v>98</v>
      </c>
      <c r="C17" s="11"/>
      <c r="D17" s="5"/>
      <c r="E17" s="5" t="s">
        <v>67</v>
      </c>
      <c r="F17" s="5"/>
      <c r="G17" s="11" t="s">
        <v>96</v>
      </c>
      <c r="H17" s="11"/>
      <c r="I17" s="8"/>
    </row>
    <row r="18" spans="1:9" ht="86.4">
      <c r="A18" s="11" t="s">
        <v>51</v>
      </c>
      <c r="B18" s="11" t="s">
        <v>50</v>
      </c>
      <c r="C18" s="11" t="s">
        <v>9</v>
      </c>
      <c r="D18" s="11"/>
      <c r="E18" s="11" t="s">
        <v>111</v>
      </c>
      <c r="F18" s="11" t="s">
        <v>266</v>
      </c>
      <c r="G18" s="11" t="s">
        <v>324</v>
      </c>
      <c r="H18" s="11"/>
      <c r="I18" s="30"/>
    </row>
    <row r="19" spans="1:9" ht="57.6">
      <c r="A19" s="11" t="s">
        <v>52</v>
      </c>
      <c r="B19" s="11" t="s">
        <v>303</v>
      </c>
      <c r="C19" s="11" t="s">
        <v>9</v>
      </c>
      <c r="D19" s="11"/>
      <c r="E19" s="11" t="s">
        <v>111</v>
      </c>
      <c r="F19" s="11" t="s">
        <v>124</v>
      </c>
      <c r="G19" s="11" t="s">
        <v>323</v>
      </c>
      <c r="H19" s="11" t="s">
        <v>325</v>
      </c>
      <c r="I19" s="30"/>
    </row>
    <row r="20" spans="1:9" ht="57.6">
      <c r="A20" s="11" t="s">
        <v>116</v>
      </c>
      <c r="B20" s="11" t="s">
        <v>118</v>
      </c>
      <c r="C20" s="11" t="s">
        <v>9</v>
      </c>
      <c r="E20" s="5" t="s">
        <v>117</v>
      </c>
      <c r="F20" s="5" t="s">
        <v>125</v>
      </c>
      <c r="G20" s="11" t="s">
        <v>286</v>
      </c>
      <c r="H20" s="11" t="s">
        <v>348</v>
      </c>
      <c r="I20" s="11" t="s">
        <v>285</v>
      </c>
    </row>
    <row r="21" spans="1:9">
      <c r="A21" s="11" t="s">
        <v>276</v>
      </c>
    </row>
    <row r="22" spans="1:9">
      <c r="A22" s="11" t="s">
        <v>277</v>
      </c>
    </row>
    <row r="23" spans="1:9" ht="28.8">
      <c r="A23" s="11" t="s">
        <v>278</v>
      </c>
    </row>
    <row r="24" spans="1:9">
      <c r="A24" s="11" t="s">
        <v>279</v>
      </c>
    </row>
    <row r="25" spans="1:9">
      <c r="A25" s="11" t="s">
        <v>99</v>
      </c>
      <c r="B25" s="12" t="s">
        <v>112</v>
      </c>
      <c r="C25" s="12"/>
      <c r="D25" s="12"/>
      <c r="E25" s="12" t="s">
        <v>110</v>
      </c>
      <c r="F25" s="12"/>
      <c r="G25" s="11" t="s">
        <v>101</v>
      </c>
    </row>
    <row r="26" spans="1:9">
      <c r="A26" s="11" t="s">
        <v>100</v>
      </c>
      <c r="B26" s="12" t="s">
        <v>113</v>
      </c>
      <c r="C26" s="12"/>
      <c r="D26" s="12"/>
      <c r="E26" s="12" t="s">
        <v>110</v>
      </c>
      <c r="F26" s="12"/>
      <c r="G26" s="11" t="s">
        <v>101</v>
      </c>
    </row>
    <row r="27" spans="1:9" ht="28.8">
      <c r="A27" s="11" t="s">
        <v>349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rightToLeft="1" topLeftCell="A14" zoomScale="75" zoomScaleNormal="75" workbookViewId="0">
      <selection activeCell="F19" sqref="F19"/>
    </sheetView>
  </sheetViews>
  <sheetFormatPr defaultRowHeight="14.4"/>
  <cols>
    <col min="2" max="2" width="17.21875" customWidth="1"/>
    <col min="3" max="3" width="17.109375" customWidth="1"/>
    <col min="4" max="4" width="20.5546875" style="38" customWidth="1"/>
    <col min="5" max="5" width="49.44140625" style="5" customWidth="1"/>
    <col min="6" max="6" width="22.33203125" style="5" customWidth="1"/>
    <col min="7" max="7" width="12.109375" customWidth="1"/>
    <col min="8" max="8" width="17.77734375" customWidth="1"/>
    <col min="9" max="9" width="12" customWidth="1"/>
    <col min="10" max="10" width="15.33203125" customWidth="1"/>
    <col min="11" max="11" width="40.6640625" customWidth="1"/>
    <col min="12" max="12" width="12" customWidth="1"/>
    <col min="13" max="13" width="14.33203125" customWidth="1"/>
  </cols>
  <sheetData>
    <row r="1" spans="1:14">
      <c r="B1" s="38"/>
      <c r="C1" s="4" t="s">
        <v>58</v>
      </c>
      <c r="D1" s="5"/>
    </row>
    <row r="2" spans="1:14">
      <c r="B2" s="38"/>
      <c r="C2" s="28" t="s">
        <v>205</v>
      </c>
      <c r="D2" s="5"/>
    </row>
    <row r="4" spans="1:14" ht="27.6">
      <c r="A4" s="9" t="s">
        <v>413</v>
      </c>
      <c r="B4" s="9" t="s">
        <v>767</v>
      </c>
      <c r="C4" s="39" t="s">
        <v>6</v>
      </c>
      <c r="D4" s="9" t="s">
        <v>7</v>
      </c>
      <c r="E4" s="9" t="s">
        <v>59</v>
      </c>
      <c r="F4" s="9" t="s">
        <v>773</v>
      </c>
      <c r="G4" s="9" t="s">
        <v>3</v>
      </c>
      <c r="H4" s="9" t="s">
        <v>4</v>
      </c>
      <c r="I4" s="9" t="s">
        <v>57</v>
      </c>
      <c r="J4" s="9" t="s">
        <v>659</v>
      </c>
      <c r="K4" s="9" t="s">
        <v>0</v>
      </c>
      <c r="L4" s="9" t="s">
        <v>156</v>
      </c>
      <c r="M4" s="9" t="s">
        <v>157</v>
      </c>
      <c r="N4" s="9" t="s">
        <v>105</v>
      </c>
    </row>
    <row r="5" spans="1:14" ht="28.8">
      <c r="A5" s="2" t="s">
        <v>804</v>
      </c>
      <c r="B5" s="2" t="s">
        <v>768</v>
      </c>
      <c r="C5" t="s">
        <v>800</v>
      </c>
      <c r="D5" s="3" t="s">
        <v>761</v>
      </c>
      <c r="E5" s="3"/>
      <c r="F5" s="3"/>
      <c r="G5" s="3"/>
      <c r="H5" s="3"/>
      <c r="I5" s="2"/>
      <c r="J5" s="2"/>
      <c r="K5" s="21"/>
    </row>
    <row r="6" spans="1:14" ht="28.8">
      <c r="A6" s="2" t="s">
        <v>804</v>
      </c>
      <c r="B6" s="2" t="s">
        <v>768</v>
      </c>
      <c r="C6" t="s">
        <v>753</v>
      </c>
      <c r="D6" s="3" t="s">
        <v>760</v>
      </c>
      <c r="E6" s="3"/>
      <c r="F6" s="3"/>
      <c r="G6" s="3"/>
      <c r="H6" s="3"/>
      <c r="I6" s="2"/>
      <c r="J6" s="2"/>
      <c r="K6" s="21"/>
    </row>
    <row r="7" spans="1:14" ht="28.8">
      <c r="A7" s="2" t="s">
        <v>804</v>
      </c>
      <c r="B7" s="2" t="s">
        <v>768</v>
      </c>
      <c r="C7" t="s">
        <v>754</v>
      </c>
      <c r="D7" s="3" t="s">
        <v>759</v>
      </c>
      <c r="E7" s="3"/>
      <c r="F7" s="3"/>
      <c r="G7" s="3"/>
      <c r="H7" s="3"/>
      <c r="I7" s="2"/>
      <c r="J7" s="2"/>
      <c r="K7" s="21"/>
    </row>
    <row r="8" spans="1:14" ht="28.8">
      <c r="A8" s="2" t="s">
        <v>804</v>
      </c>
      <c r="B8" s="2" t="s">
        <v>768</v>
      </c>
      <c r="C8" t="s">
        <v>801</v>
      </c>
      <c r="D8" s="3" t="s">
        <v>755</v>
      </c>
      <c r="E8" s="3"/>
      <c r="F8" s="3"/>
      <c r="G8" s="3"/>
      <c r="H8" s="3"/>
      <c r="J8" s="2"/>
    </row>
    <row r="9" spans="1:14" ht="28.8">
      <c r="A9" s="2" t="s">
        <v>804</v>
      </c>
      <c r="B9" s="2" t="s">
        <v>768</v>
      </c>
      <c r="C9" s="2" t="s">
        <v>802</v>
      </c>
      <c r="D9" s="3" t="s">
        <v>639</v>
      </c>
      <c r="E9" s="3"/>
      <c r="F9" s="3"/>
      <c r="G9" s="3"/>
      <c r="H9" s="3"/>
      <c r="J9" s="2"/>
    </row>
    <row r="10" spans="1:14">
      <c r="A10" s="2"/>
      <c r="B10" s="2"/>
      <c r="C10" s="2"/>
      <c r="D10" s="3" t="s">
        <v>758</v>
      </c>
      <c r="E10" s="3"/>
      <c r="F10" s="3"/>
      <c r="G10" s="3"/>
      <c r="H10" s="3"/>
      <c r="J10" s="2"/>
    </row>
    <row r="11" spans="1:14">
      <c r="A11" s="2"/>
      <c r="B11" s="2"/>
      <c r="C11" s="2"/>
      <c r="D11" s="3" t="s">
        <v>757</v>
      </c>
      <c r="E11" s="3"/>
      <c r="F11" s="3"/>
      <c r="G11" s="3"/>
      <c r="H11" s="3"/>
      <c r="J11" s="2"/>
    </row>
    <row r="12" spans="1:14" ht="28.8">
      <c r="A12" s="2" t="s">
        <v>715</v>
      </c>
      <c r="B12" s="2" t="s">
        <v>768</v>
      </c>
      <c r="C12" s="2" t="s">
        <v>805</v>
      </c>
      <c r="D12" s="3" t="s">
        <v>803</v>
      </c>
      <c r="E12" s="3"/>
      <c r="F12" s="3"/>
      <c r="G12" s="3"/>
      <c r="H12" s="3"/>
      <c r="J12" s="2"/>
    </row>
    <row r="13" spans="1:14" ht="28.8">
      <c r="A13" s="2" t="s">
        <v>715</v>
      </c>
      <c r="B13" s="2" t="s">
        <v>768</v>
      </c>
      <c r="C13" s="2" t="s">
        <v>763</v>
      </c>
      <c r="D13" s="3" t="s">
        <v>756</v>
      </c>
      <c r="E13" s="3"/>
      <c r="F13" s="3"/>
      <c r="G13" s="3"/>
      <c r="H13" s="3"/>
      <c r="J13" s="2"/>
    </row>
    <row r="14" spans="1:14" ht="331.2">
      <c r="A14" s="2" t="s">
        <v>715</v>
      </c>
      <c r="B14" s="2" t="s">
        <v>768</v>
      </c>
      <c r="C14" s="2" t="s">
        <v>762</v>
      </c>
      <c r="D14" s="3" t="s">
        <v>436</v>
      </c>
      <c r="E14" s="3" t="s">
        <v>795</v>
      </c>
      <c r="F14" s="3"/>
      <c r="G14" s="3"/>
      <c r="H14" s="3"/>
      <c r="J14" s="2"/>
      <c r="K14" s="5"/>
    </row>
    <row r="15" spans="1:14" ht="28.8">
      <c r="A15" s="2" t="s">
        <v>764</v>
      </c>
      <c r="B15" s="3" t="s">
        <v>766</v>
      </c>
      <c r="C15" s="2" t="s">
        <v>1013</v>
      </c>
      <c r="D15" s="2" t="s">
        <v>765</v>
      </c>
      <c r="E15" s="3"/>
      <c r="F15" s="3"/>
      <c r="G15" s="3"/>
      <c r="H15" s="3"/>
      <c r="J15" s="2"/>
    </row>
    <row r="16" spans="1:14" ht="28.8">
      <c r="A16" s="2" t="s">
        <v>764</v>
      </c>
      <c r="B16" s="3" t="s">
        <v>766</v>
      </c>
      <c r="C16" s="2" t="s">
        <v>1009</v>
      </c>
      <c r="D16" s="2" t="s">
        <v>1010</v>
      </c>
      <c r="E16" s="3"/>
      <c r="F16" s="3"/>
      <c r="G16" s="3"/>
      <c r="H16" s="3"/>
      <c r="J16" s="2"/>
    </row>
    <row r="17" spans="1:11" ht="27.6">
      <c r="A17" s="2" t="s">
        <v>764</v>
      </c>
      <c r="B17" s="3" t="s">
        <v>766</v>
      </c>
      <c r="C17" t="s">
        <v>1011</v>
      </c>
      <c r="D17" s="2" t="s">
        <v>1012</v>
      </c>
      <c r="E17" s="3"/>
      <c r="F17" s="3"/>
      <c r="G17" s="3"/>
      <c r="H17" s="2"/>
      <c r="J17" s="2"/>
    </row>
    <row r="18" spans="1:11" ht="27.6">
      <c r="A18" s="2" t="s">
        <v>764</v>
      </c>
      <c r="B18" s="3" t="s">
        <v>766</v>
      </c>
      <c r="C18" t="s">
        <v>1014</v>
      </c>
      <c r="D18" s="3" t="s">
        <v>1015</v>
      </c>
      <c r="E18" s="3"/>
      <c r="F18" s="3"/>
      <c r="G18" s="3"/>
      <c r="H18" s="2"/>
      <c r="J18" s="2"/>
    </row>
    <row r="19" spans="1:11">
      <c r="A19" s="2" t="s">
        <v>764</v>
      </c>
      <c r="B19" s="3" t="s">
        <v>775</v>
      </c>
      <c r="C19" t="s">
        <v>784</v>
      </c>
      <c r="D19" s="3" t="s">
        <v>702</v>
      </c>
      <c r="E19" s="3"/>
      <c r="F19" s="3"/>
      <c r="G19" s="3"/>
      <c r="H19" s="3"/>
      <c r="K19" s="34"/>
    </row>
    <row r="20" spans="1:11" ht="27.6">
      <c r="A20" s="2" t="s">
        <v>764</v>
      </c>
      <c r="B20" s="3" t="s">
        <v>766</v>
      </c>
      <c r="C20" t="s">
        <v>1008</v>
      </c>
      <c r="D20" s="3" t="s">
        <v>22</v>
      </c>
      <c r="E20" s="3"/>
      <c r="F20" s="3"/>
      <c r="G20" s="3"/>
      <c r="H20" s="3"/>
      <c r="K20" s="34"/>
    </row>
    <row r="21" spans="1:11">
      <c r="A21" s="2" t="s">
        <v>693</v>
      </c>
      <c r="B21" s="3" t="s">
        <v>769</v>
      </c>
      <c r="C21" s="2" t="s">
        <v>696</v>
      </c>
      <c r="D21" s="3" t="s">
        <v>697</v>
      </c>
      <c r="E21" s="3"/>
      <c r="F21" s="3"/>
      <c r="G21" s="3"/>
      <c r="H21" s="2"/>
      <c r="J21" s="2"/>
    </row>
    <row r="22" spans="1:11" ht="28.8">
      <c r="A22" s="2" t="s">
        <v>693</v>
      </c>
      <c r="B22" s="3" t="s">
        <v>769</v>
      </c>
      <c r="C22" s="2" t="s">
        <v>717</v>
      </c>
      <c r="D22" s="3" t="s">
        <v>643</v>
      </c>
      <c r="E22" s="3"/>
      <c r="F22" s="3"/>
      <c r="G22" s="3"/>
      <c r="H22" s="2"/>
      <c r="J22" s="2"/>
    </row>
    <row r="23" spans="1:11">
      <c r="A23" s="2" t="s">
        <v>693</v>
      </c>
      <c r="B23" s="3" t="s">
        <v>769</v>
      </c>
      <c r="C23" t="s">
        <v>716</v>
      </c>
      <c r="D23" s="3" t="s">
        <v>644</v>
      </c>
      <c r="E23" s="3"/>
      <c r="F23" s="3" t="s">
        <v>426</v>
      </c>
      <c r="G23" s="3"/>
      <c r="H23" s="2"/>
      <c r="J23" s="2"/>
    </row>
    <row r="24" spans="1:11">
      <c r="A24" s="2" t="s">
        <v>693</v>
      </c>
      <c r="B24" s="3" t="s">
        <v>769</v>
      </c>
      <c r="C24" t="s">
        <v>718</v>
      </c>
      <c r="D24" s="3" t="s">
        <v>719</v>
      </c>
      <c r="E24" s="3"/>
      <c r="F24" s="3" t="s">
        <v>426</v>
      </c>
      <c r="G24" s="3"/>
      <c r="H24" s="2"/>
      <c r="J24" s="2"/>
    </row>
    <row r="25" spans="1:11">
      <c r="A25" s="2" t="s">
        <v>693</v>
      </c>
      <c r="B25" s="3" t="s">
        <v>769</v>
      </c>
      <c r="C25" t="s">
        <v>720</v>
      </c>
      <c r="D25" s="3" t="s">
        <v>721</v>
      </c>
      <c r="E25" s="3"/>
      <c r="F25" s="3"/>
      <c r="G25" s="3"/>
      <c r="H25" s="2"/>
      <c r="J25" s="2"/>
    </row>
    <row r="26" spans="1:11">
      <c r="A26" s="2" t="s">
        <v>771</v>
      </c>
      <c r="B26" s="3" t="s">
        <v>770</v>
      </c>
      <c r="C26" s="56" t="s">
        <v>723</v>
      </c>
      <c r="D26" s="2" t="s">
        <v>724</v>
      </c>
      <c r="E26" s="56" t="s">
        <v>731</v>
      </c>
      <c r="F26" s="56" t="s">
        <v>425</v>
      </c>
      <c r="G26" s="3"/>
      <c r="H26" s="2"/>
      <c r="J26" s="2"/>
    </row>
    <row r="27" spans="1:11">
      <c r="A27" s="2" t="s">
        <v>771</v>
      </c>
      <c r="B27" s="3" t="s">
        <v>770</v>
      </c>
      <c r="C27" s="56" t="s">
        <v>725</v>
      </c>
      <c r="D27" s="2" t="s">
        <v>726</v>
      </c>
      <c r="E27" s="56" t="s">
        <v>730</v>
      </c>
      <c r="F27" s="56"/>
      <c r="G27" s="3"/>
      <c r="J27" s="2"/>
    </row>
    <row r="28" spans="1:11">
      <c r="A28" s="2" t="s">
        <v>771</v>
      </c>
      <c r="B28" s="3" t="s">
        <v>770</v>
      </c>
      <c r="C28" s="56" t="s">
        <v>727</v>
      </c>
      <c r="D28" s="3" t="s">
        <v>728</v>
      </c>
      <c r="E28" s="56" t="s">
        <v>729</v>
      </c>
      <c r="F28" s="56"/>
      <c r="G28" s="3"/>
    </row>
    <row r="29" spans="1:11">
      <c r="A29" s="2" t="s">
        <v>771</v>
      </c>
      <c r="B29" s="3" t="s">
        <v>770</v>
      </c>
      <c r="C29" s="56" t="s">
        <v>732</v>
      </c>
      <c r="D29" s="3" t="s">
        <v>734</v>
      </c>
      <c r="E29" s="56" t="s">
        <v>737</v>
      </c>
      <c r="F29" s="56"/>
      <c r="G29" s="3"/>
    </row>
    <row r="30" spans="1:11">
      <c r="A30" s="2" t="s">
        <v>771</v>
      </c>
      <c r="B30" s="3" t="s">
        <v>770</v>
      </c>
      <c r="C30" s="56" t="s">
        <v>733</v>
      </c>
      <c r="D30" s="3" t="s">
        <v>735</v>
      </c>
      <c r="E30" s="56" t="s">
        <v>736</v>
      </c>
      <c r="F30" s="56"/>
      <c r="G30" s="3"/>
    </row>
    <row r="31" spans="1:11">
      <c r="A31" s="2" t="s">
        <v>771</v>
      </c>
      <c r="B31" s="3" t="s">
        <v>770</v>
      </c>
      <c r="C31" s="56" t="s">
        <v>738</v>
      </c>
      <c r="D31" s="3" t="s">
        <v>750</v>
      </c>
      <c r="E31" s="56" t="s">
        <v>739</v>
      </c>
      <c r="F31" s="56"/>
      <c r="G31" s="3"/>
    </row>
    <row r="32" spans="1:11">
      <c r="A32" s="2" t="s">
        <v>771</v>
      </c>
      <c r="B32" s="3" t="s">
        <v>770</v>
      </c>
      <c r="C32" s="56" t="s">
        <v>544</v>
      </c>
      <c r="D32" s="3" t="s">
        <v>543</v>
      </c>
      <c r="E32" s="56" t="s">
        <v>740</v>
      </c>
      <c r="F32" s="56"/>
      <c r="G32" s="3"/>
      <c r="H32" s="3"/>
      <c r="J32" s="2"/>
    </row>
    <row r="33" spans="1:11">
      <c r="A33" s="2" t="s">
        <v>771</v>
      </c>
      <c r="B33" s="3" t="s">
        <v>770</v>
      </c>
      <c r="C33" s="56" t="s">
        <v>743</v>
      </c>
      <c r="D33" s="3" t="s">
        <v>742</v>
      </c>
      <c r="E33" s="56" t="s">
        <v>741</v>
      </c>
      <c r="F33" s="56"/>
      <c r="G33" s="3"/>
    </row>
    <row r="34" spans="1:11">
      <c r="A34" s="2" t="s">
        <v>771</v>
      </c>
      <c r="B34" s="3" t="s">
        <v>770</v>
      </c>
      <c r="C34" s="56" t="s">
        <v>744</v>
      </c>
      <c r="D34" s="3" t="s">
        <v>745</v>
      </c>
      <c r="E34" s="56" t="s">
        <v>748</v>
      </c>
      <c r="F34" s="56"/>
      <c r="G34" s="3"/>
    </row>
    <row r="35" spans="1:11">
      <c r="A35" s="2" t="s">
        <v>771</v>
      </c>
      <c r="B35" s="3" t="s">
        <v>770</v>
      </c>
      <c r="C35" s="56" t="s">
        <v>746</v>
      </c>
      <c r="D35" s="3" t="s">
        <v>747</v>
      </c>
      <c r="E35" s="56" t="s">
        <v>749</v>
      </c>
      <c r="F35" s="56"/>
      <c r="G35" s="3"/>
    </row>
    <row r="36" spans="1:11">
      <c r="A36" s="2" t="s">
        <v>771</v>
      </c>
      <c r="B36" s="3" t="s">
        <v>770</v>
      </c>
      <c r="C36" s="56" t="s">
        <v>751</v>
      </c>
      <c r="D36" s="3" t="s">
        <v>752</v>
      </c>
      <c r="G36" s="3"/>
    </row>
    <row r="37" spans="1:11" ht="28.8">
      <c r="A37" s="2" t="s">
        <v>426</v>
      </c>
      <c r="B37" s="3" t="s">
        <v>772</v>
      </c>
      <c r="C37" s="49" t="s">
        <v>432</v>
      </c>
      <c r="D37" s="3" t="s">
        <v>414</v>
      </c>
      <c r="E37" s="3"/>
      <c r="F37" s="3"/>
      <c r="G37" s="3"/>
    </row>
    <row r="38" spans="1:11" ht="220.8">
      <c r="A38" s="2" t="s">
        <v>426</v>
      </c>
      <c r="B38" s="3" t="s">
        <v>772</v>
      </c>
      <c r="C38" s="2" t="s">
        <v>30</v>
      </c>
      <c r="D38" s="3" t="s">
        <v>29</v>
      </c>
      <c r="E38" s="3" t="s">
        <v>798</v>
      </c>
      <c r="F38" s="3"/>
      <c r="G38" s="3"/>
    </row>
    <row r="39" spans="1:11" ht="28.8">
      <c r="A39" s="2" t="s">
        <v>426</v>
      </c>
      <c r="B39" s="3" t="s">
        <v>772</v>
      </c>
      <c r="C39" s="2" t="s">
        <v>563</v>
      </c>
      <c r="D39" s="3" t="s">
        <v>57</v>
      </c>
      <c r="E39" s="3" t="s">
        <v>564</v>
      </c>
      <c r="F39" s="3"/>
      <c r="G39" s="3"/>
      <c r="H39" s="3"/>
      <c r="J39" s="2"/>
    </row>
    <row r="40" spans="1:11" ht="28.8">
      <c r="A40" s="2" t="s">
        <v>426</v>
      </c>
      <c r="B40" s="3" t="s">
        <v>772</v>
      </c>
      <c r="C40" s="2" t="s">
        <v>36</v>
      </c>
      <c r="D40" s="3" t="s">
        <v>37</v>
      </c>
      <c r="E40" s="3"/>
      <c r="F40" s="3"/>
      <c r="G40" s="3"/>
      <c r="H40" s="3"/>
    </row>
    <row r="41" spans="1:11" ht="28.8">
      <c r="A41" s="2" t="s">
        <v>426</v>
      </c>
      <c r="B41" s="3" t="s">
        <v>772</v>
      </c>
      <c r="C41" s="2" t="s">
        <v>38</v>
      </c>
      <c r="D41" s="3" t="s">
        <v>39</v>
      </c>
      <c r="E41" s="3"/>
      <c r="F41" s="3"/>
      <c r="G41" s="3"/>
      <c r="H41" s="3"/>
      <c r="J41" s="19"/>
      <c r="K41" s="3"/>
    </row>
    <row r="42" spans="1:11" ht="28.8">
      <c r="A42" s="2" t="s">
        <v>426</v>
      </c>
      <c r="B42" s="3" t="s">
        <v>772</v>
      </c>
      <c r="C42" t="s">
        <v>664</v>
      </c>
      <c r="D42" s="3" t="s">
        <v>705</v>
      </c>
      <c r="E42" s="3"/>
      <c r="F42" s="3"/>
      <c r="G42" s="3"/>
      <c r="H42" s="3"/>
      <c r="K42" s="34"/>
    </row>
    <row r="43" spans="1:11" ht="179.4">
      <c r="A43" s="40" t="s">
        <v>426</v>
      </c>
      <c r="B43" s="37" t="s">
        <v>772</v>
      </c>
      <c r="C43" s="38" t="s">
        <v>796</v>
      </c>
      <c r="D43" s="37" t="s">
        <v>12</v>
      </c>
      <c r="E43" s="37" t="s">
        <v>797</v>
      </c>
      <c r="F43" s="3"/>
      <c r="G43" s="3"/>
      <c r="H43" s="3"/>
      <c r="K43" s="34"/>
    </row>
    <row r="44" spans="1:11">
      <c r="A44" s="2" t="s">
        <v>425</v>
      </c>
      <c r="B44" s="3" t="s">
        <v>775</v>
      </c>
      <c r="C44" s="49" t="s">
        <v>431</v>
      </c>
      <c r="D44" s="48" t="s">
        <v>545</v>
      </c>
      <c r="E44" s="17"/>
      <c r="H44" s="3"/>
    </row>
    <row r="45" spans="1:11">
      <c r="A45" s="2" t="s">
        <v>425</v>
      </c>
      <c r="B45" s="3" t="s">
        <v>775</v>
      </c>
      <c r="C45" s="49" t="s">
        <v>550</v>
      </c>
      <c r="D45" s="3" t="s">
        <v>551</v>
      </c>
    </row>
    <row r="46" spans="1:11">
      <c r="A46" s="2" t="s">
        <v>425</v>
      </c>
      <c r="B46" s="3" t="s">
        <v>775</v>
      </c>
      <c r="C46" t="s">
        <v>557</v>
      </c>
      <c r="D46" s="3" t="s">
        <v>384</v>
      </c>
    </row>
    <row r="47" spans="1:11">
      <c r="A47" s="2" t="s">
        <v>425</v>
      </c>
      <c r="B47" s="3" t="s">
        <v>775</v>
      </c>
      <c r="C47" s="2" t="s">
        <v>44</v>
      </c>
      <c r="D47" s="3" t="s">
        <v>350</v>
      </c>
      <c r="E47" s="3"/>
      <c r="F47" s="3"/>
      <c r="G47" s="3"/>
      <c r="H47" s="3"/>
      <c r="I47" s="3"/>
      <c r="J47" s="3"/>
      <c r="K47" s="3"/>
    </row>
    <row r="48" spans="1:11" ht="28.8">
      <c r="A48" s="2" t="s">
        <v>425</v>
      </c>
      <c r="B48" s="3" t="s">
        <v>775</v>
      </c>
      <c r="C48" s="2" t="s">
        <v>559</v>
      </c>
      <c r="D48" s="3" t="s">
        <v>558</v>
      </c>
      <c r="E48" s="3"/>
      <c r="F48" s="3"/>
      <c r="G48" s="3"/>
      <c r="H48" s="3"/>
    </row>
    <row r="49" spans="1:10">
      <c r="A49" s="2" t="s">
        <v>425</v>
      </c>
      <c r="B49" s="3" t="s">
        <v>775</v>
      </c>
      <c r="C49" s="49" t="s">
        <v>42</v>
      </c>
      <c r="D49" s="3" t="s">
        <v>43</v>
      </c>
      <c r="E49" s="3"/>
      <c r="F49" s="3"/>
      <c r="G49" s="3"/>
      <c r="H49" s="3"/>
      <c r="J49" s="2"/>
    </row>
    <row r="50" spans="1:10">
      <c r="A50" s="2" t="s">
        <v>425</v>
      </c>
      <c r="B50" s="3" t="s">
        <v>775</v>
      </c>
      <c r="C50" s="2" t="s">
        <v>31</v>
      </c>
      <c r="D50" s="3" t="s">
        <v>32</v>
      </c>
      <c r="E50" s="3"/>
      <c r="F50" s="3"/>
      <c r="G50" s="3"/>
      <c r="H50" s="3"/>
      <c r="J50" s="2"/>
    </row>
    <row r="51" spans="1:10">
      <c r="A51" s="2" t="s">
        <v>425</v>
      </c>
      <c r="B51" s="3" t="s">
        <v>775</v>
      </c>
      <c r="C51" s="2" t="s">
        <v>776</v>
      </c>
      <c r="D51" s="3" t="s">
        <v>567</v>
      </c>
      <c r="E51" s="3"/>
      <c r="F51" s="17"/>
      <c r="G51" s="3"/>
      <c r="H51" s="2"/>
    </row>
    <row r="52" spans="1:10">
      <c r="A52" s="2" t="s">
        <v>425</v>
      </c>
      <c r="B52" s="3" t="s">
        <v>775</v>
      </c>
      <c r="C52" s="2" t="s">
        <v>777</v>
      </c>
      <c r="D52" s="3" t="s">
        <v>568</v>
      </c>
    </row>
    <row r="53" spans="1:10">
      <c r="A53" s="2" t="s">
        <v>425</v>
      </c>
      <c r="B53" s="3" t="s">
        <v>775</v>
      </c>
      <c r="C53" s="49" t="s">
        <v>774</v>
      </c>
      <c r="D53" s="3" t="s">
        <v>35</v>
      </c>
    </row>
    <row r="54" spans="1:10">
      <c r="A54" s="2" t="s">
        <v>425</v>
      </c>
      <c r="B54" s="3" t="s">
        <v>775</v>
      </c>
      <c r="C54" s="2" t="s">
        <v>16</v>
      </c>
      <c r="D54" t="s">
        <v>778</v>
      </c>
    </row>
    <row r="55" spans="1:10">
      <c r="A55" s="2" t="s">
        <v>425</v>
      </c>
      <c r="B55" s="3" t="s">
        <v>775</v>
      </c>
      <c r="C55" s="2" t="s">
        <v>27</v>
      </c>
      <c r="D55" s="3" t="s">
        <v>785</v>
      </c>
    </row>
    <row r="56" spans="1:10">
      <c r="A56" s="2" t="s">
        <v>425</v>
      </c>
      <c r="B56" s="3" t="s">
        <v>775</v>
      </c>
      <c r="C56" s="2"/>
      <c r="D56" s="17" t="s">
        <v>799</v>
      </c>
    </row>
    <row r="57" spans="1:10" ht="69">
      <c r="A57" s="2" t="s">
        <v>425</v>
      </c>
      <c r="B57" s="3" t="s">
        <v>775</v>
      </c>
      <c r="C57" s="38"/>
      <c r="D57" s="3" t="s">
        <v>383</v>
      </c>
      <c r="E57" s="3" t="s">
        <v>780</v>
      </c>
    </row>
    <row r="58" spans="1:10" ht="69">
      <c r="A58" s="2" t="s">
        <v>425</v>
      </c>
      <c r="B58" s="3" t="s">
        <v>775</v>
      </c>
      <c r="C58" s="38"/>
      <c r="D58" s="3" t="s">
        <v>422</v>
      </c>
      <c r="E58" s="3" t="s">
        <v>781</v>
      </c>
    </row>
    <row r="59" spans="1:10" ht="27.6">
      <c r="A59" s="2" t="s">
        <v>425</v>
      </c>
      <c r="B59" s="3" t="s">
        <v>775</v>
      </c>
      <c r="C59" s="38"/>
      <c r="D59" s="3" t="s">
        <v>334</v>
      </c>
      <c r="E59" s="3" t="s">
        <v>782</v>
      </c>
    </row>
    <row r="60" spans="1:10" ht="82.8">
      <c r="A60" s="2" t="s">
        <v>425</v>
      </c>
      <c r="B60" s="3" t="s">
        <v>775</v>
      </c>
      <c r="D60" s="33" t="s">
        <v>387</v>
      </c>
      <c r="E60" s="33" t="s">
        <v>783</v>
      </c>
    </row>
    <row r="61" spans="1:10">
      <c r="A61" s="2" t="s">
        <v>867</v>
      </c>
      <c r="B61" s="3" t="s">
        <v>860</v>
      </c>
      <c r="C61" t="s">
        <v>861</v>
      </c>
      <c r="D61" s="38" t="s">
        <v>868</v>
      </c>
    </row>
    <row r="62" spans="1:10">
      <c r="A62" s="2" t="s">
        <v>867</v>
      </c>
      <c r="B62" s="3" t="s">
        <v>860</v>
      </c>
      <c r="C62" t="s">
        <v>862</v>
      </c>
      <c r="D62" s="38" t="s">
        <v>873</v>
      </c>
    </row>
    <row r="63" spans="1:10">
      <c r="A63" s="2" t="s">
        <v>867</v>
      </c>
      <c r="B63" s="3" t="s">
        <v>860</v>
      </c>
      <c r="C63" t="s">
        <v>863</v>
      </c>
      <c r="D63" s="38" t="s">
        <v>871</v>
      </c>
    </row>
    <row r="64" spans="1:10">
      <c r="A64" s="2" t="s">
        <v>867</v>
      </c>
      <c r="B64" s="3" t="s">
        <v>860</v>
      </c>
      <c r="C64" t="s">
        <v>864</v>
      </c>
      <c r="D64" s="38" t="s">
        <v>872</v>
      </c>
    </row>
    <row r="65" spans="1:5">
      <c r="A65" s="2" t="s">
        <v>867</v>
      </c>
      <c r="B65" s="3" t="s">
        <v>860</v>
      </c>
      <c r="C65" t="s">
        <v>865</v>
      </c>
      <c r="D65" s="38" t="s">
        <v>869</v>
      </c>
    </row>
    <row r="66" spans="1:5">
      <c r="A66" s="2" t="s">
        <v>867</v>
      </c>
      <c r="B66" s="3" t="s">
        <v>860</v>
      </c>
      <c r="C66" t="s">
        <v>866</v>
      </c>
      <c r="D66" s="38" t="s">
        <v>870</v>
      </c>
    </row>
    <row r="67" spans="1:5">
      <c r="A67" s="2" t="s">
        <v>430</v>
      </c>
      <c r="B67" s="3" t="s">
        <v>786</v>
      </c>
      <c r="C67" s="2" t="s">
        <v>46</v>
      </c>
      <c r="D67" s="3" t="s">
        <v>45</v>
      </c>
    </row>
    <row r="68" spans="1:5">
      <c r="A68" s="2" t="s">
        <v>430</v>
      </c>
      <c r="B68" s="3" t="s">
        <v>786</v>
      </c>
      <c r="C68" t="s">
        <v>787</v>
      </c>
      <c r="D68" t="s">
        <v>333</v>
      </c>
    </row>
    <row r="69" spans="1:5" ht="28.8">
      <c r="A69" s="2" t="s">
        <v>430</v>
      </c>
      <c r="B69" s="3" t="s">
        <v>786</v>
      </c>
      <c r="C69" s="2" t="s">
        <v>560</v>
      </c>
      <c r="D69" s="3" t="s">
        <v>561</v>
      </c>
    </row>
    <row r="70" spans="1:5" ht="28.8">
      <c r="A70" s="2" t="s">
        <v>430</v>
      </c>
      <c r="B70" s="3" t="s">
        <v>786</v>
      </c>
      <c r="C70" s="2" t="s">
        <v>48</v>
      </c>
      <c r="D70" s="3" t="s">
        <v>49</v>
      </c>
      <c r="E70" s="5" t="s">
        <v>779</v>
      </c>
    </row>
    <row r="71" spans="1:5" ht="82.8">
      <c r="A71" s="2" t="s">
        <v>430</v>
      </c>
      <c r="B71" s="3" t="s">
        <v>786</v>
      </c>
      <c r="C71" s="2" t="s">
        <v>788</v>
      </c>
      <c r="D71" s="3" t="s">
        <v>56</v>
      </c>
      <c r="E71" s="3" t="s">
        <v>790</v>
      </c>
    </row>
    <row r="72" spans="1:5" ht="69">
      <c r="A72" s="2" t="s">
        <v>430</v>
      </c>
      <c r="B72" s="3" t="s">
        <v>786</v>
      </c>
      <c r="C72" s="2" t="s">
        <v>789</v>
      </c>
      <c r="D72" s="3" t="s">
        <v>114</v>
      </c>
      <c r="E72" s="3" t="s">
        <v>791</v>
      </c>
    </row>
    <row r="73" spans="1:5" ht="55.2">
      <c r="A73" s="2" t="s">
        <v>430</v>
      </c>
      <c r="B73" s="3" t="s">
        <v>786</v>
      </c>
      <c r="C73" s="2" t="s">
        <v>793</v>
      </c>
      <c r="D73" s="3" t="s">
        <v>541</v>
      </c>
      <c r="E73" s="3" t="s">
        <v>792</v>
      </c>
    </row>
    <row r="74" spans="1:5" ht="409.6">
      <c r="A74" s="2" t="s">
        <v>430</v>
      </c>
      <c r="B74" s="3" t="s">
        <v>786</v>
      </c>
      <c r="C74" s="2" t="s">
        <v>794</v>
      </c>
      <c r="D74" s="3" t="s">
        <v>699</v>
      </c>
      <c r="E74" s="3" t="s">
        <v>700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69491-4F9B-48D9-B01E-4A4E77F5C60E}">
  <dimension ref="A1:N136"/>
  <sheetViews>
    <sheetView rightToLeft="1" zoomScale="75" zoomScaleNormal="75" workbookViewId="0">
      <pane ySplit="4" topLeftCell="A5" activePane="bottomLeft" state="frozen"/>
      <selection pane="bottomLeft" activeCell="E7" sqref="E7"/>
    </sheetView>
  </sheetViews>
  <sheetFormatPr defaultRowHeight="14.4"/>
  <cols>
    <col min="1" max="1" width="11.44140625" customWidth="1"/>
    <col min="2" max="2" width="25.33203125" style="38" customWidth="1"/>
    <col min="3" max="3" width="12.88671875" customWidth="1"/>
    <col min="4" max="4" width="52.5546875" style="5" customWidth="1"/>
    <col min="5" max="5" width="35.6640625" style="5" customWidth="1"/>
    <col min="6" max="6" width="29.5546875" style="5" customWidth="1"/>
    <col min="9" max="10" width="12.109375" customWidth="1"/>
    <col min="11" max="11" width="17.77734375" customWidth="1"/>
    <col min="12" max="12" width="12" customWidth="1"/>
    <col min="13" max="13" width="15.33203125" customWidth="1"/>
    <col min="14" max="14" width="40.6640625" customWidth="1"/>
  </cols>
  <sheetData>
    <row r="1" spans="1:14">
      <c r="C1" s="4" t="s">
        <v>58</v>
      </c>
    </row>
    <row r="2" spans="1:14">
      <c r="C2" s="28" t="s">
        <v>205</v>
      </c>
    </row>
    <row r="4" spans="1:14" ht="27.6">
      <c r="A4" s="9" t="s">
        <v>413</v>
      </c>
      <c r="B4" s="39" t="s">
        <v>6</v>
      </c>
      <c r="C4" s="9" t="s">
        <v>7</v>
      </c>
      <c r="D4" s="9" t="s">
        <v>471</v>
      </c>
      <c r="E4" s="9" t="s">
        <v>472</v>
      </c>
      <c r="F4" s="9" t="s">
        <v>475</v>
      </c>
      <c r="G4" s="9" t="s">
        <v>3</v>
      </c>
      <c r="H4" s="9" t="s">
        <v>4</v>
      </c>
      <c r="I4" s="9" t="s">
        <v>57</v>
      </c>
      <c r="J4" s="9" t="s">
        <v>659</v>
      </c>
      <c r="K4" s="9" t="s">
        <v>0</v>
      </c>
      <c r="L4" s="9" t="s">
        <v>156</v>
      </c>
      <c r="M4" s="9" t="s">
        <v>157</v>
      </c>
      <c r="N4" s="9" t="s">
        <v>105</v>
      </c>
    </row>
    <row r="5" spans="1:14" ht="110.4">
      <c r="A5" s="42" t="s">
        <v>415</v>
      </c>
      <c r="B5" s="47" t="s">
        <v>417</v>
      </c>
      <c r="C5" s="46" t="s">
        <v>416</v>
      </c>
      <c r="D5" s="50" t="s">
        <v>511</v>
      </c>
      <c r="E5" s="43"/>
      <c r="F5" s="43"/>
      <c r="G5" s="42">
        <v>0.7</v>
      </c>
      <c r="H5" s="42">
        <v>10</v>
      </c>
      <c r="I5" s="43" t="s">
        <v>9</v>
      </c>
      <c r="J5" s="43"/>
      <c r="K5" s="43" t="s">
        <v>8</v>
      </c>
      <c r="L5" s="42">
        <v>20</v>
      </c>
      <c r="M5" s="42" t="s">
        <v>158</v>
      </c>
      <c r="N5" s="44" t="s">
        <v>219</v>
      </c>
    </row>
    <row r="6" spans="1:14" ht="55.2">
      <c r="A6" s="2" t="s">
        <v>426</v>
      </c>
      <c r="B6" s="49" t="s">
        <v>432</v>
      </c>
      <c r="C6" s="3" t="s">
        <v>414</v>
      </c>
      <c r="D6" s="3" t="s">
        <v>512</v>
      </c>
      <c r="E6" s="33"/>
      <c r="F6" s="3" t="s">
        <v>474</v>
      </c>
      <c r="G6" s="2">
        <v>0.6</v>
      </c>
      <c r="H6" s="2">
        <v>7</v>
      </c>
      <c r="I6" s="3" t="s">
        <v>8</v>
      </c>
      <c r="J6" s="3" t="s">
        <v>649</v>
      </c>
      <c r="K6" s="3"/>
      <c r="L6" s="2"/>
      <c r="M6" s="2"/>
      <c r="N6" s="21"/>
    </row>
    <row r="7" spans="1:14" ht="317.39999999999998">
      <c r="A7" s="2" t="s">
        <v>691</v>
      </c>
      <c r="B7" s="40"/>
      <c r="C7" s="3" t="s">
        <v>436</v>
      </c>
      <c r="D7" s="3" t="s">
        <v>513</v>
      </c>
      <c r="E7" s="3" t="s">
        <v>473</v>
      </c>
      <c r="F7" s="3"/>
      <c r="G7" s="2">
        <v>0.7</v>
      </c>
      <c r="H7" s="2">
        <v>9</v>
      </c>
      <c r="I7" s="3" t="s">
        <v>9</v>
      </c>
      <c r="J7" s="3" t="s">
        <v>649</v>
      </c>
      <c r="K7" s="3"/>
      <c r="L7" s="2"/>
      <c r="M7" s="2" t="s">
        <v>437</v>
      </c>
      <c r="N7" s="21"/>
    </row>
    <row r="8" spans="1:14" ht="220.8">
      <c r="A8" s="2" t="s">
        <v>425</v>
      </c>
      <c r="B8" s="2" t="s">
        <v>431</v>
      </c>
      <c r="C8" s="3" t="s">
        <v>545</v>
      </c>
      <c r="D8" s="3" t="s">
        <v>546</v>
      </c>
      <c r="E8" s="33" t="s">
        <v>548</v>
      </c>
      <c r="F8" s="3"/>
      <c r="G8" s="2">
        <v>0.6</v>
      </c>
      <c r="H8" s="2">
        <v>7</v>
      </c>
      <c r="I8" s="3" t="s">
        <v>8</v>
      </c>
      <c r="J8" s="3" t="s">
        <v>649</v>
      </c>
      <c r="K8" s="3" t="s">
        <v>8</v>
      </c>
      <c r="M8" s="2" t="s">
        <v>159</v>
      </c>
    </row>
    <row r="9" spans="1:14" ht="151.80000000000001">
      <c r="A9" s="2" t="s">
        <v>425</v>
      </c>
      <c r="B9" s="2" t="s">
        <v>544</v>
      </c>
      <c r="C9" s="2" t="s">
        <v>543</v>
      </c>
      <c r="D9" s="3" t="s">
        <v>547</v>
      </c>
      <c r="E9" s="33" t="s">
        <v>549</v>
      </c>
      <c r="F9" s="3"/>
      <c r="G9" s="2">
        <v>0.5</v>
      </c>
      <c r="H9" s="2">
        <v>5</v>
      </c>
      <c r="I9" s="3"/>
      <c r="J9" s="3" t="s">
        <v>649</v>
      </c>
      <c r="K9" s="3"/>
      <c r="M9" s="2"/>
    </row>
    <row r="10" spans="1:14" ht="96.6">
      <c r="A10" s="2" t="s">
        <v>690</v>
      </c>
      <c r="B10" s="2" t="s">
        <v>30</v>
      </c>
      <c r="C10" s="3" t="s">
        <v>29</v>
      </c>
      <c r="D10" s="3" t="s">
        <v>484</v>
      </c>
      <c r="E10" s="33"/>
      <c r="F10" s="33" t="s">
        <v>485</v>
      </c>
      <c r="G10" s="2">
        <v>0.7</v>
      </c>
      <c r="H10" s="2">
        <v>9</v>
      </c>
      <c r="I10" s="3" t="s">
        <v>8</v>
      </c>
      <c r="J10" s="3"/>
      <c r="K10" s="3" t="s">
        <v>8</v>
      </c>
      <c r="M10" s="2"/>
    </row>
    <row r="11" spans="1:14" ht="138">
      <c r="A11" s="2" t="s">
        <v>425</v>
      </c>
      <c r="B11" s="52" t="s">
        <v>550</v>
      </c>
      <c r="C11" s="3" t="s">
        <v>551</v>
      </c>
      <c r="D11" s="3" t="s">
        <v>552</v>
      </c>
      <c r="E11" s="33" t="s">
        <v>555</v>
      </c>
      <c r="F11" s="33" t="s">
        <v>556</v>
      </c>
      <c r="G11" s="2">
        <v>0.5</v>
      </c>
      <c r="H11" s="2">
        <v>8</v>
      </c>
      <c r="I11" s="3"/>
      <c r="J11" s="3"/>
      <c r="K11" s="3"/>
      <c r="M11" s="2"/>
    </row>
    <row r="12" spans="1:14" ht="207">
      <c r="A12" s="2" t="s">
        <v>425</v>
      </c>
      <c r="B12" t="s">
        <v>557</v>
      </c>
      <c r="C12" s="3" t="s">
        <v>384</v>
      </c>
      <c r="D12" s="3" t="s">
        <v>553</v>
      </c>
      <c r="E12" s="33" t="s">
        <v>554</v>
      </c>
      <c r="F12" s="33"/>
      <c r="G12" s="2">
        <v>0.4</v>
      </c>
      <c r="H12" s="2">
        <v>6</v>
      </c>
      <c r="I12" s="3" t="s">
        <v>9</v>
      </c>
      <c r="J12" s="3"/>
    </row>
    <row r="13" spans="1:14" ht="138">
      <c r="A13" s="2" t="s">
        <v>692</v>
      </c>
      <c r="B13" s="2" t="s">
        <v>44</v>
      </c>
      <c r="C13" s="3" t="s">
        <v>350</v>
      </c>
      <c r="D13" s="3" t="s">
        <v>536</v>
      </c>
      <c r="E13" s="33"/>
      <c r="F13" s="3" t="s">
        <v>508</v>
      </c>
      <c r="G13" s="2">
        <v>0.6</v>
      </c>
      <c r="H13" s="2">
        <v>7</v>
      </c>
      <c r="I13" s="3" t="s">
        <v>9</v>
      </c>
      <c r="J13" s="3" t="s">
        <v>649</v>
      </c>
      <c r="K13" s="2"/>
      <c r="M13" s="2" t="s">
        <v>339</v>
      </c>
      <c r="N13" t="s">
        <v>13</v>
      </c>
    </row>
    <row r="14" spans="1:14" ht="110.4">
      <c r="A14" s="2" t="s">
        <v>415</v>
      </c>
      <c r="B14" s="40"/>
      <c r="C14" s="3" t="s">
        <v>435</v>
      </c>
      <c r="D14" s="3" t="s">
        <v>537</v>
      </c>
      <c r="E14" s="33"/>
      <c r="F14" s="33"/>
      <c r="G14" s="2"/>
      <c r="H14" s="2"/>
      <c r="I14" s="3"/>
      <c r="J14" s="3" t="s">
        <v>649</v>
      </c>
      <c r="K14" s="3"/>
      <c r="M14" s="2"/>
    </row>
    <row r="15" spans="1:14" ht="138">
      <c r="A15" s="2" t="s">
        <v>426</v>
      </c>
      <c r="B15" s="2" t="s">
        <v>11</v>
      </c>
      <c r="C15" s="3" t="s">
        <v>12</v>
      </c>
      <c r="D15" s="3" t="s">
        <v>514</v>
      </c>
      <c r="E15" s="45"/>
      <c r="F15" s="33" t="s">
        <v>476</v>
      </c>
      <c r="G15" s="2">
        <v>0.7</v>
      </c>
      <c r="H15" s="2">
        <v>8</v>
      </c>
      <c r="I15" s="3" t="s">
        <v>8</v>
      </c>
      <c r="J15" s="3" t="s">
        <v>649</v>
      </c>
      <c r="K15" s="3" t="s">
        <v>8</v>
      </c>
      <c r="M15" s="2" t="s">
        <v>160</v>
      </c>
    </row>
    <row r="16" spans="1:14" ht="193.2">
      <c r="A16" s="2" t="s">
        <v>693</v>
      </c>
      <c r="B16" s="2" t="s">
        <v>40</v>
      </c>
      <c r="C16" s="3" t="s">
        <v>41</v>
      </c>
      <c r="D16" s="33" t="s">
        <v>492</v>
      </c>
      <c r="E16" s="33" t="s">
        <v>518</v>
      </c>
      <c r="F16" s="33" t="s">
        <v>493</v>
      </c>
      <c r="G16" s="2">
        <v>0.6</v>
      </c>
      <c r="H16" s="2">
        <v>6</v>
      </c>
      <c r="I16" s="3" t="s">
        <v>14</v>
      </c>
      <c r="J16" s="3" t="s">
        <v>649</v>
      </c>
      <c r="K16" s="2"/>
      <c r="M16" s="2"/>
    </row>
    <row r="17" spans="1:14" ht="110.4">
      <c r="A17" s="2" t="s">
        <v>427</v>
      </c>
      <c r="B17" s="2" t="s">
        <v>420</v>
      </c>
      <c r="C17" s="3" t="s">
        <v>17</v>
      </c>
      <c r="D17" s="3" t="s">
        <v>515</v>
      </c>
      <c r="E17" s="33" t="s">
        <v>516</v>
      </c>
      <c r="F17" s="33" t="s">
        <v>483</v>
      </c>
      <c r="G17" s="2">
        <v>0.5</v>
      </c>
      <c r="H17" s="2">
        <v>5</v>
      </c>
      <c r="I17" s="3" t="s">
        <v>8</v>
      </c>
      <c r="J17" s="3" t="s">
        <v>649</v>
      </c>
      <c r="K17" s="3" t="s">
        <v>8</v>
      </c>
      <c r="M17" s="2"/>
    </row>
    <row r="18" spans="1:14" ht="165.6">
      <c r="A18" s="2" t="s">
        <v>429</v>
      </c>
      <c r="B18" s="2" t="s">
        <v>27</v>
      </c>
      <c r="C18" s="3" t="s">
        <v>28</v>
      </c>
      <c r="D18" s="3" t="s">
        <v>565</v>
      </c>
      <c r="E18" s="33"/>
      <c r="F18" s="3"/>
      <c r="G18" s="2">
        <v>0.7</v>
      </c>
      <c r="H18" s="2">
        <v>6</v>
      </c>
      <c r="I18" s="3" t="s">
        <v>8</v>
      </c>
      <c r="J18" s="3" t="s">
        <v>649</v>
      </c>
      <c r="K18" s="3" t="s">
        <v>8</v>
      </c>
      <c r="M18" s="2" t="s">
        <v>159</v>
      </c>
      <c r="N18" s="5" t="s">
        <v>340</v>
      </c>
    </row>
    <row r="19" spans="1:14">
      <c r="A19" s="2" t="s">
        <v>426</v>
      </c>
      <c r="B19" s="2" t="s">
        <v>563</v>
      </c>
      <c r="C19" s="3" t="s">
        <v>57</v>
      </c>
      <c r="D19" s="3" t="s">
        <v>564</v>
      </c>
      <c r="E19" s="33"/>
      <c r="F19" s="3"/>
      <c r="G19" s="2">
        <v>0.5</v>
      </c>
      <c r="H19" s="2">
        <v>6</v>
      </c>
      <c r="I19" s="3"/>
      <c r="J19" s="3" t="s">
        <v>649</v>
      </c>
      <c r="K19" s="3"/>
      <c r="M19" s="2"/>
      <c r="N19" s="5"/>
    </row>
    <row r="20" spans="1:14" ht="110.4">
      <c r="A20" s="2" t="s">
        <v>427</v>
      </c>
      <c r="B20" s="2" t="s">
        <v>559</v>
      </c>
      <c r="C20" s="3" t="s">
        <v>558</v>
      </c>
      <c r="D20" s="3" t="s">
        <v>517</v>
      </c>
      <c r="E20" s="33" t="s">
        <v>480</v>
      </c>
      <c r="F20" s="3" t="s">
        <v>477</v>
      </c>
      <c r="G20" s="2">
        <v>0.6</v>
      </c>
      <c r="H20" s="2">
        <v>6</v>
      </c>
      <c r="I20" s="3" t="s">
        <v>14</v>
      </c>
      <c r="J20" s="3" t="s">
        <v>649</v>
      </c>
      <c r="K20" s="3" t="s">
        <v>8</v>
      </c>
      <c r="M20" s="2" t="s">
        <v>159</v>
      </c>
    </row>
    <row r="21" spans="1:14" ht="41.4">
      <c r="A21" s="2" t="s">
        <v>427</v>
      </c>
      <c r="B21" s="2" t="s">
        <v>560</v>
      </c>
      <c r="C21" s="3" t="s">
        <v>561</v>
      </c>
      <c r="D21" s="33" t="s">
        <v>562</v>
      </c>
      <c r="E21" s="33"/>
      <c r="F21" s="33"/>
      <c r="G21" s="2"/>
      <c r="H21" s="2"/>
      <c r="I21" s="3"/>
      <c r="J21" s="3" t="s">
        <v>649</v>
      </c>
      <c r="K21" s="2"/>
      <c r="M21" s="2"/>
    </row>
    <row r="22" spans="1:14" ht="248.4">
      <c r="A22" s="2" t="s">
        <v>694</v>
      </c>
      <c r="B22" s="49" t="s">
        <v>42</v>
      </c>
      <c r="C22" s="3" t="s">
        <v>43</v>
      </c>
      <c r="D22" s="3" t="s">
        <v>538</v>
      </c>
      <c r="E22" s="33"/>
      <c r="F22" s="33" t="s">
        <v>494</v>
      </c>
      <c r="G22" s="2">
        <v>0.6</v>
      </c>
      <c r="H22" s="2">
        <v>7</v>
      </c>
      <c r="I22" s="3" t="s">
        <v>8</v>
      </c>
      <c r="J22" s="3"/>
      <c r="K22" s="2"/>
      <c r="M22" s="2"/>
    </row>
    <row r="23" spans="1:14" ht="207">
      <c r="A23" s="2" t="s">
        <v>693</v>
      </c>
      <c r="B23" s="2" t="s">
        <v>696</v>
      </c>
      <c r="C23" s="3" t="s">
        <v>697</v>
      </c>
      <c r="D23" s="3" t="s">
        <v>698</v>
      </c>
      <c r="E23" s="33" t="s">
        <v>481</v>
      </c>
      <c r="F23" s="33" t="s">
        <v>482</v>
      </c>
      <c r="G23" s="2">
        <v>0.4</v>
      </c>
      <c r="H23" s="2">
        <v>2</v>
      </c>
      <c r="I23" s="3" t="s">
        <v>8</v>
      </c>
      <c r="J23" s="3" t="s">
        <v>649</v>
      </c>
      <c r="K23" s="3" t="s">
        <v>8</v>
      </c>
      <c r="M23" s="2"/>
    </row>
    <row r="24" spans="1:14" ht="82.8">
      <c r="A24" s="2" t="s">
        <v>415</v>
      </c>
      <c r="B24" s="2" t="s">
        <v>23</v>
      </c>
      <c r="C24" s="3" t="s">
        <v>24</v>
      </c>
      <c r="D24" s="3" t="s">
        <v>519</v>
      </c>
      <c r="E24" s="33"/>
      <c r="F24" s="33"/>
      <c r="G24" s="2">
        <v>0.5</v>
      </c>
      <c r="H24" s="2">
        <v>3</v>
      </c>
      <c r="I24" s="3" t="s">
        <v>8</v>
      </c>
      <c r="J24" s="3"/>
      <c r="K24" s="3" t="s">
        <v>8</v>
      </c>
      <c r="M24" s="2"/>
    </row>
    <row r="25" spans="1:14">
      <c r="A25" s="2" t="s">
        <v>693</v>
      </c>
      <c r="B25" s="2" t="s">
        <v>717</v>
      </c>
      <c r="C25" s="3" t="s">
        <v>643</v>
      </c>
      <c r="D25" s="3" t="s">
        <v>695</v>
      </c>
      <c r="E25" s="33"/>
      <c r="F25" s="33"/>
      <c r="G25" s="2">
        <v>0.6</v>
      </c>
      <c r="H25" s="2">
        <v>5</v>
      </c>
      <c r="I25" s="3" t="s">
        <v>8</v>
      </c>
      <c r="J25" s="3" t="s">
        <v>649</v>
      </c>
      <c r="K25" s="3" t="s">
        <v>8</v>
      </c>
      <c r="M25" s="2"/>
    </row>
    <row r="26" spans="1:14" ht="193.2">
      <c r="A26" s="2" t="s">
        <v>428</v>
      </c>
      <c r="B26" s="2" t="s">
        <v>31</v>
      </c>
      <c r="C26" s="3" t="s">
        <v>32</v>
      </c>
      <c r="D26" s="3" t="s">
        <v>486</v>
      </c>
      <c r="E26" s="33" t="s">
        <v>487</v>
      </c>
      <c r="F26" s="33"/>
      <c r="G26" s="2">
        <v>0.5</v>
      </c>
      <c r="H26" s="2">
        <v>4</v>
      </c>
      <c r="I26" s="3" t="s">
        <v>8</v>
      </c>
      <c r="J26" s="3"/>
      <c r="K26" s="3" t="s">
        <v>8</v>
      </c>
      <c r="M26" s="2"/>
      <c r="N26" t="s">
        <v>338</v>
      </c>
    </row>
    <row r="27" spans="1:14" ht="55.2">
      <c r="A27" s="2" t="s">
        <v>429</v>
      </c>
      <c r="C27" s="3" t="s">
        <v>567</v>
      </c>
      <c r="D27" s="3" t="s">
        <v>571</v>
      </c>
      <c r="E27" s="33" t="s">
        <v>569</v>
      </c>
      <c r="F27" s="33"/>
      <c r="G27" s="2">
        <v>0.4</v>
      </c>
      <c r="H27" s="2">
        <v>3</v>
      </c>
      <c r="I27" s="3" t="s">
        <v>9</v>
      </c>
      <c r="J27" s="3"/>
    </row>
    <row r="28" spans="1:14" ht="55.2">
      <c r="A28" s="2" t="s">
        <v>429</v>
      </c>
      <c r="C28" s="3" t="s">
        <v>568</v>
      </c>
      <c r="D28" s="3" t="s">
        <v>570</v>
      </c>
      <c r="E28" s="33" t="s">
        <v>572</v>
      </c>
      <c r="F28" s="33"/>
      <c r="G28" s="2">
        <v>0.4</v>
      </c>
      <c r="H28" s="2">
        <v>3</v>
      </c>
      <c r="I28" s="3"/>
      <c r="J28" s="3"/>
    </row>
    <row r="29" spans="1:14" ht="124.2">
      <c r="A29" s="2" t="s">
        <v>429</v>
      </c>
      <c r="B29" s="49" t="s">
        <v>774</v>
      </c>
      <c r="C29" s="3" t="s">
        <v>35</v>
      </c>
      <c r="D29" s="33" t="s">
        <v>523</v>
      </c>
      <c r="E29" s="33"/>
      <c r="F29" s="33"/>
      <c r="G29" s="2">
        <v>0.6</v>
      </c>
      <c r="H29" s="2">
        <v>4</v>
      </c>
      <c r="I29" s="3" t="s">
        <v>14</v>
      </c>
      <c r="J29" s="3" t="s">
        <v>649</v>
      </c>
      <c r="K29" s="2"/>
      <c r="M29" s="2"/>
    </row>
    <row r="30" spans="1:14" ht="82.8">
      <c r="A30" s="2" t="s">
        <v>426</v>
      </c>
      <c r="B30" s="2" t="s">
        <v>36</v>
      </c>
      <c r="C30" s="3" t="s">
        <v>37</v>
      </c>
      <c r="D30" s="3" t="s">
        <v>521</v>
      </c>
      <c r="E30" s="33"/>
      <c r="F30" s="33" t="s">
        <v>489</v>
      </c>
      <c r="G30" s="2">
        <v>0.4</v>
      </c>
      <c r="H30" s="2">
        <v>3</v>
      </c>
      <c r="I30" s="3" t="s">
        <v>8</v>
      </c>
      <c r="J30" s="3"/>
      <c r="K30" s="2"/>
      <c r="M30" s="2"/>
    </row>
    <row r="31" spans="1:14" ht="138">
      <c r="A31" s="2" t="s">
        <v>426</v>
      </c>
      <c r="B31" s="2" t="s">
        <v>38</v>
      </c>
      <c r="C31" s="3" t="s">
        <v>39</v>
      </c>
      <c r="D31" s="3" t="s">
        <v>524</v>
      </c>
      <c r="E31" s="33" t="s">
        <v>490</v>
      </c>
      <c r="F31" s="33" t="s">
        <v>491</v>
      </c>
      <c r="G31" s="2">
        <v>0.4</v>
      </c>
      <c r="H31" s="2">
        <v>3</v>
      </c>
      <c r="I31" s="3" t="s">
        <v>14</v>
      </c>
      <c r="J31" s="3"/>
      <c r="K31" s="2"/>
      <c r="M31" s="2"/>
    </row>
    <row r="32" spans="1:14" ht="151.80000000000001">
      <c r="A32" s="2" t="s">
        <v>425</v>
      </c>
      <c r="B32" s="2" t="s">
        <v>16</v>
      </c>
      <c r="C32" s="3" t="s">
        <v>419</v>
      </c>
      <c r="D32" s="3" t="s">
        <v>525</v>
      </c>
      <c r="E32" s="33" t="s">
        <v>479</v>
      </c>
      <c r="F32" s="45" t="s">
        <v>478</v>
      </c>
      <c r="G32" s="2">
        <v>0.4</v>
      </c>
      <c r="H32" s="2">
        <v>4</v>
      </c>
      <c r="I32" s="3" t="s">
        <v>8</v>
      </c>
      <c r="J32" s="3"/>
      <c r="K32" s="3" t="s">
        <v>8</v>
      </c>
      <c r="M32" s="2" t="s">
        <v>159</v>
      </c>
    </row>
    <row r="33" spans="1:14" ht="262.2">
      <c r="A33" s="2" t="s">
        <v>427</v>
      </c>
      <c r="B33" s="2" t="s">
        <v>46</v>
      </c>
      <c r="C33" s="3" t="s">
        <v>45</v>
      </c>
      <c r="D33" s="3" t="s">
        <v>526</v>
      </c>
      <c r="E33" s="3"/>
      <c r="F33" s="3"/>
      <c r="G33" s="2">
        <v>0.6</v>
      </c>
      <c r="H33" s="2">
        <v>5</v>
      </c>
      <c r="I33" s="3" t="s">
        <v>14</v>
      </c>
      <c r="J33" s="3"/>
      <c r="K33" s="2"/>
      <c r="M33" s="2"/>
    </row>
    <row r="34" spans="1:14" ht="193.2">
      <c r="A34" s="2" t="s">
        <v>427</v>
      </c>
      <c r="C34" s="3" t="s">
        <v>333</v>
      </c>
      <c r="D34" s="3" t="s">
        <v>527</v>
      </c>
      <c r="E34" s="3"/>
      <c r="F34" s="3"/>
      <c r="G34" s="2">
        <v>0.2</v>
      </c>
      <c r="H34" s="2">
        <v>2</v>
      </c>
      <c r="I34" s="3" t="s">
        <v>14</v>
      </c>
      <c r="J34" s="3"/>
    </row>
    <row r="35" spans="1:14" ht="207">
      <c r="A35" s="2" t="s">
        <v>429</v>
      </c>
      <c r="C35" s="33" t="s">
        <v>336</v>
      </c>
      <c r="D35" s="3" t="s">
        <v>539</v>
      </c>
      <c r="E35" s="33"/>
      <c r="F35" s="33" t="s">
        <v>498</v>
      </c>
      <c r="G35" s="2">
        <v>0.5</v>
      </c>
      <c r="H35" s="2">
        <v>4</v>
      </c>
      <c r="I35" s="3" t="s">
        <v>8</v>
      </c>
      <c r="J35" s="3"/>
    </row>
    <row r="36" spans="1:14" ht="207">
      <c r="A36" s="2" t="s">
        <v>426</v>
      </c>
      <c r="B36" s="2" t="s">
        <v>48</v>
      </c>
      <c r="C36" s="3" t="s">
        <v>49</v>
      </c>
      <c r="D36" s="3" t="s">
        <v>529</v>
      </c>
      <c r="E36" s="33"/>
      <c r="F36" s="33"/>
      <c r="G36" s="2">
        <v>0.2</v>
      </c>
      <c r="H36" s="2"/>
      <c r="I36" s="3" t="s">
        <v>9</v>
      </c>
      <c r="J36" s="3"/>
      <c r="K36" s="3" t="s">
        <v>47</v>
      </c>
      <c r="M36" s="2"/>
    </row>
    <row r="37" spans="1:14" ht="124.2">
      <c r="A37" s="2" t="s">
        <v>425</v>
      </c>
      <c r="C37" s="3" t="s">
        <v>383</v>
      </c>
      <c r="D37" s="3" t="s">
        <v>530</v>
      </c>
      <c r="E37" s="33" t="s">
        <v>499</v>
      </c>
      <c r="F37" s="33"/>
      <c r="G37" s="2">
        <v>0.2</v>
      </c>
      <c r="H37" s="2">
        <v>4</v>
      </c>
      <c r="I37" s="3" t="s">
        <v>9</v>
      </c>
      <c r="J37" s="3"/>
    </row>
    <row r="38" spans="1:14" ht="151.80000000000001">
      <c r="A38" s="2" t="s">
        <v>425</v>
      </c>
      <c r="C38" s="3" t="s">
        <v>422</v>
      </c>
      <c r="D38" s="3" t="s">
        <v>531</v>
      </c>
      <c r="E38" s="33" t="s">
        <v>503</v>
      </c>
      <c r="F38" s="33"/>
      <c r="G38" s="2">
        <v>0.2</v>
      </c>
      <c r="H38" s="2">
        <v>4</v>
      </c>
      <c r="I38" s="3" t="s">
        <v>9</v>
      </c>
      <c r="J38" s="3"/>
    </row>
    <row r="39" spans="1:14" ht="165.6">
      <c r="A39" s="2" t="s">
        <v>425</v>
      </c>
      <c r="C39" s="3" t="s">
        <v>334</v>
      </c>
      <c r="D39" s="3" t="s">
        <v>532</v>
      </c>
      <c r="E39" s="33" t="s">
        <v>504</v>
      </c>
      <c r="F39" s="3"/>
      <c r="G39" s="2">
        <v>0.2</v>
      </c>
      <c r="H39" s="2">
        <v>3</v>
      </c>
      <c r="I39" s="3" t="s">
        <v>8</v>
      </c>
      <c r="J39" s="3"/>
    </row>
    <row r="40" spans="1:14" ht="179.4">
      <c r="A40" s="41" t="s">
        <v>425</v>
      </c>
      <c r="B40" s="51"/>
      <c r="C40" s="33" t="s">
        <v>387</v>
      </c>
      <c r="D40" s="33" t="s">
        <v>533</v>
      </c>
      <c r="E40" s="33" t="s">
        <v>505</v>
      </c>
      <c r="F40" s="3"/>
      <c r="G40" s="2">
        <v>0.2</v>
      </c>
      <c r="H40" s="2">
        <v>3</v>
      </c>
      <c r="I40" s="3" t="s">
        <v>9</v>
      </c>
      <c r="J40" s="3"/>
    </row>
    <row r="41" spans="1:14" ht="248.4">
      <c r="A41" s="2" t="s">
        <v>426</v>
      </c>
      <c r="B41" s="2" t="s">
        <v>55</v>
      </c>
      <c r="C41" s="17" t="s">
        <v>56</v>
      </c>
      <c r="D41" s="3" t="s">
        <v>534</v>
      </c>
      <c r="E41" s="33" t="s">
        <v>507</v>
      </c>
      <c r="F41" s="3" t="s">
        <v>506</v>
      </c>
      <c r="G41" s="2">
        <v>0.4</v>
      </c>
      <c r="H41" s="2"/>
      <c r="I41" s="3" t="s">
        <v>9</v>
      </c>
      <c r="J41" s="3"/>
      <c r="K41" s="3" t="s">
        <v>47</v>
      </c>
      <c r="M41" s="2"/>
    </row>
    <row r="42" spans="1:14" ht="110.4">
      <c r="A42" s="2" t="s">
        <v>430</v>
      </c>
      <c r="B42" s="2" t="s">
        <v>115</v>
      </c>
      <c r="C42" s="17" t="s">
        <v>114</v>
      </c>
      <c r="D42" s="3" t="s">
        <v>535</v>
      </c>
      <c r="E42" s="33" t="s">
        <v>573</v>
      </c>
      <c r="F42" s="33" t="s">
        <v>509</v>
      </c>
      <c r="G42">
        <v>0.4</v>
      </c>
      <c r="H42" s="2"/>
      <c r="I42" s="3" t="s">
        <v>9</v>
      </c>
      <c r="J42" s="3"/>
      <c r="K42" s="3" t="s">
        <v>47</v>
      </c>
    </row>
    <row r="43" spans="1:14" ht="138">
      <c r="A43" s="2" t="s">
        <v>430</v>
      </c>
      <c r="B43" s="2" t="s">
        <v>270</v>
      </c>
      <c r="C43" s="17" t="s">
        <v>541</v>
      </c>
      <c r="D43" s="3" t="s">
        <v>540</v>
      </c>
      <c r="E43" s="3"/>
      <c r="F43" s="33" t="s">
        <v>542</v>
      </c>
      <c r="G43" s="2">
        <v>0.4</v>
      </c>
      <c r="I43" s="3" t="s">
        <v>9</v>
      </c>
      <c r="J43" s="3" t="s">
        <v>649</v>
      </c>
      <c r="K43" s="3" t="s">
        <v>271</v>
      </c>
      <c r="M43" s="19"/>
      <c r="N43" s="3" t="s">
        <v>337</v>
      </c>
    </row>
    <row r="44" spans="1:14" ht="409.6">
      <c r="A44" s="2" t="s">
        <v>430</v>
      </c>
      <c r="B44" s="40" t="s">
        <v>269</v>
      </c>
      <c r="C44" s="17" t="s">
        <v>699</v>
      </c>
      <c r="D44" s="3" t="s">
        <v>700</v>
      </c>
      <c r="E44" s="3"/>
      <c r="F44" s="33" t="s">
        <v>510</v>
      </c>
      <c r="G44" s="2">
        <v>0.1</v>
      </c>
      <c r="H44" s="2"/>
      <c r="I44" s="3" t="s">
        <v>9</v>
      </c>
      <c r="J44" s="3" t="s">
        <v>649</v>
      </c>
      <c r="K44" s="3" t="s">
        <v>272</v>
      </c>
      <c r="N44" s="34"/>
    </row>
    <row r="45" spans="1:14">
      <c r="A45" s="2" t="s">
        <v>428</v>
      </c>
      <c r="C45" s="3" t="s">
        <v>701</v>
      </c>
      <c r="G45" s="2"/>
      <c r="K45" s="3"/>
    </row>
    <row r="46" spans="1:14">
      <c r="A46" s="2" t="s">
        <v>428</v>
      </c>
      <c r="C46" s="3" t="s">
        <v>702</v>
      </c>
    </row>
    <row r="47" spans="1:14">
      <c r="A47" s="2" t="s">
        <v>428</v>
      </c>
      <c r="C47" s="17" t="s">
        <v>22</v>
      </c>
    </row>
    <row r="48" spans="1:14">
      <c r="A48" s="2" t="s">
        <v>428</v>
      </c>
      <c r="C48" s="3" t="s">
        <v>703</v>
      </c>
    </row>
    <row r="49" spans="1:3">
      <c r="A49" s="2" t="s">
        <v>428</v>
      </c>
      <c r="C49" s="3" t="s">
        <v>704</v>
      </c>
    </row>
    <row r="50" spans="1:3">
      <c r="A50" s="2" t="s">
        <v>428</v>
      </c>
      <c r="C50" s="3" t="s">
        <v>54</v>
      </c>
    </row>
    <row r="51" spans="1:3" ht="28.8">
      <c r="A51" s="2" t="s">
        <v>415</v>
      </c>
      <c r="C51" s="3" t="s">
        <v>639</v>
      </c>
    </row>
    <row r="52" spans="1:3">
      <c r="A52" s="2" t="s">
        <v>428</v>
      </c>
      <c r="C52" s="3" t="s">
        <v>640</v>
      </c>
    </row>
    <row r="53" spans="1:3">
      <c r="A53" s="2" t="s">
        <v>428</v>
      </c>
      <c r="C53" s="3" t="s">
        <v>641</v>
      </c>
    </row>
    <row r="54" spans="1:3">
      <c r="A54" s="2" t="s">
        <v>428</v>
      </c>
      <c r="C54" s="3" t="s">
        <v>713</v>
      </c>
    </row>
    <row r="55" spans="1:3">
      <c r="A55" s="2" t="s">
        <v>693</v>
      </c>
      <c r="B55" t="s">
        <v>716</v>
      </c>
      <c r="C55" s="3" t="s">
        <v>644</v>
      </c>
    </row>
    <row r="56" spans="1:3" ht="28.8">
      <c r="A56" s="2" t="s">
        <v>714</v>
      </c>
      <c r="B56" t="s">
        <v>664</v>
      </c>
      <c r="C56" s="3" t="s">
        <v>705</v>
      </c>
    </row>
    <row r="57" spans="1:3">
      <c r="A57" s="2" t="s">
        <v>428</v>
      </c>
      <c r="B57" t="s">
        <v>665</v>
      </c>
      <c r="C57" s="3" t="s">
        <v>706</v>
      </c>
    </row>
    <row r="58" spans="1:3">
      <c r="A58" s="2" t="s">
        <v>428</v>
      </c>
      <c r="B58" t="s">
        <v>666</v>
      </c>
      <c r="C58" s="3" t="s">
        <v>707</v>
      </c>
    </row>
    <row r="59" spans="1:3">
      <c r="A59" s="2" t="s">
        <v>428</v>
      </c>
      <c r="B59" t="s">
        <v>671</v>
      </c>
      <c r="C59" s="3" t="s">
        <v>708</v>
      </c>
    </row>
    <row r="60" spans="1:3" ht="28.8">
      <c r="A60" s="2" t="s">
        <v>715</v>
      </c>
      <c r="B60" t="s">
        <v>678</v>
      </c>
      <c r="C60" s="3" t="s">
        <v>709</v>
      </c>
    </row>
    <row r="61" spans="1:3">
      <c r="B61" t="s">
        <v>679</v>
      </c>
      <c r="C61" s="3" t="s">
        <v>710</v>
      </c>
    </row>
    <row r="62" spans="1:3" ht="28.8">
      <c r="A62" s="2" t="s">
        <v>415</v>
      </c>
      <c r="B62" t="s">
        <v>683</v>
      </c>
      <c r="C62" s="3" t="s">
        <v>711</v>
      </c>
    </row>
    <row r="63" spans="1:3">
      <c r="A63" s="2" t="s">
        <v>428</v>
      </c>
      <c r="B63" t="s">
        <v>685</v>
      </c>
      <c r="C63" t="s">
        <v>712</v>
      </c>
    </row>
    <row r="64" spans="1:3">
      <c r="A64" s="2" t="s">
        <v>693</v>
      </c>
      <c r="B64" s="38" t="s">
        <v>718</v>
      </c>
      <c r="C64" s="3" t="s">
        <v>719</v>
      </c>
    </row>
    <row r="65" spans="1:4">
      <c r="A65" s="2" t="s">
        <v>693</v>
      </c>
      <c r="B65" s="38" t="s">
        <v>720</v>
      </c>
      <c r="C65" s="3" t="s">
        <v>721</v>
      </c>
    </row>
    <row r="66" spans="1:4">
      <c r="A66" s="2" t="s">
        <v>722</v>
      </c>
      <c r="B66" s="56" t="s">
        <v>723</v>
      </c>
      <c r="C66" s="2" t="s">
        <v>724</v>
      </c>
      <c r="D66" s="56" t="s">
        <v>731</v>
      </c>
    </row>
    <row r="67" spans="1:4">
      <c r="A67" s="2" t="s">
        <v>722</v>
      </c>
      <c r="B67" s="56" t="s">
        <v>725</v>
      </c>
      <c r="C67" s="2" t="s">
        <v>726</v>
      </c>
      <c r="D67" s="56" t="s">
        <v>730</v>
      </c>
    </row>
    <row r="68" spans="1:4">
      <c r="A68" s="2" t="s">
        <v>722</v>
      </c>
      <c r="B68" s="56" t="s">
        <v>727</v>
      </c>
      <c r="C68" s="3" t="s">
        <v>728</v>
      </c>
      <c r="D68" s="56" t="s">
        <v>729</v>
      </c>
    </row>
    <row r="69" spans="1:4">
      <c r="A69" s="2" t="s">
        <v>722</v>
      </c>
      <c r="B69" s="56" t="s">
        <v>732</v>
      </c>
      <c r="C69" s="3" t="s">
        <v>734</v>
      </c>
      <c r="D69" s="56" t="s">
        <v>737</v>
      </c>
    </row>
    <row r="70" spans="1:4">
      <c r="A70" s="2" t="s">
        <v>722</v>
      </c>
      <c r="B70" s="56" t="s">
        <v>733</v>
      </c>
      <c r="C70" s="3" t="s">
        <v>735</v>
      </c>
      <c r="D70" s="56" t="s">
        <v>736</v>
      </c>
    </row>
    <row r="71" spans="1:4">
      <c r="A71" s="2" t="s">
        <v>722</v>
      </c>
      <c r="B71" s="56" t="s">
        <v>738</v>
      </c>
      <c r="C71" s="3" t="s">
        <v>750</v>
      </c>
      <c r="D71" s="56" t="s">
        <v>739</v>
      </c>
    </row>
    <row r="72" spans="1:4">
      <c r="A72" s="2" t="s">
        <v>722</v>
      </c>
      <c r="B72" s="56" t="s">
        <v>544</v>
      </c>
      <c r="C72" s="3" t="s">
        <v>543</v>
      </c>
      <c r="D72" s="56" t="s">
        <v>740</v>
      </c>
    </row>
    <row r="73" spans="1:4">
      <c r="A73" s="2" t="s">
        <v>722</v>
      </c>
      <c r="B73" s="56" t="s">
        <v>743</v>
      </c>
      <c r="C73" s="3" t="s">
        <v>742</v>
      </c>
      <c r="D73" s="56" t="s">
        <v>741</v>
      </c>
    </row>
    <row r="74" spans="1:4">
      <c r="A74" s="2" t="s">
        <v>722</v>
      </c>
      <c r="B74" s="56" t="s">
        <v>744</v>
      </c>
      <c r="C74" s="3" t="s">
        <v>745</v>
      </c>
      <c r="D74" s="56" t="s">
        <v>748</v>
      </c>
    </row>
    <row r="75" spans="1:4">
      <c r="A75" s="2" t="s">
        <v>722</v>
      </c>
      <c r="B75" s="56" t="s">
        <v>746</v>
      </c>
      <c r="C75" s="3" t="s">
        <v>747</v>
      </c>
      <c r="D75" s="56" t="s">
        <v>749</v>
      </c>
    </row>
    <row r="76" spans="1:4">
      <c r="A76" s="2" t="s">
        <v>722</v>
      </c>
      <c r="B76" s="56" t="s">
        <v>751</v>
      </c>
      <c r="C76" s="3" t="s">
        <v>752</v>
      </c>
    </row>
    <row r="95" spans="1:14">
      <c r="C95" s="36" t="s">
        <v>418</v>
      </c>
    </row>
    <row r="96" spans="1:14" ht="69">
      <c r="A96" s="2"/>
      <c r="B96" s="40" t="s">
        <v>327</v>
      </c>
      <c r="C96" s="3" t="s">
        <v>326</v>
      </c>
      <c r="D96" s="3" t="s">
        <v>329</v>
      </c>
      <c r="E96" s="3"/>
      <c r="F96" s="3"/>
      <c r="G96" s="2">
        <v>0.7</v>
      </c>
      <c r="H96" s="2">
        <v>8</v>
      </c>
      <c r="I96" s="3" t="s">
        <v>8</v>
      </c>
      <c r="J96" s="3"/>
      <c r="K96" s="3" t="s">
        <v>328</v>
      </c>
      <c r="L96" s="3" t="s">
        <v>330</v>
      </c>
      <c r="M96" s="3" t="s">
        <v>331</v>
      </c>
      <c r="N96" s="3" t="s">
        <v>385</v>
      </c>
    </row>
    <row r="97" spans="1:13" ht="27.6">
      <c r="A97" s="2"/>
      <c r="B97" s="40" t="s">
        <v>19</v>
      </c>
      <c r="C97" s="3" t="s">
        <v>20</v>
      </c>
      <c r="D97" s="3" t="s">
        <v>18</v>
      </c>
      <c r="E97" s="3"/>
      <c r="F97" s="3"/>
      <c r="G97" s="2">
        <v>0.5</v>
      </c>
      <c r="H97" s="2">
        <v>5</v>
      </c>
      <c r="I97" s="3" t="s">
        <v>8</v>
      </c>
      <c r="J97" s="3"/>
      <c r="K97" s="3" t="s">
        <v>8</v>
      </c>
    </row>
    <row r="98" spans="1:13" ht="55.2">
      <c r="A98" s="2"/>
      <c r="B98" s="40" t="s">
        <v>25</v>
      </c>
      <c r="C98" s="3" t="s">
        <v>26</v>
      </c>
      <c r="D98" s="3" t="s">
        <v>421</v>
      </c>
      <c r="E98" s="3"/>
      <c r="F98" s="3"/>
      <c r="G98" s="2">
        <v>0.6</v>
      </c>
      <c r="H98" s="2">
        <v>5</v>
      </c>
      <c r="I98" s="3" t="s">
        <v>8</v>
      </c>
      <c r="J98" s="3"/>
      <c r="K98" s="3" t="s">
        <v>8</v>
      </c>
      <c r="M98" s="2"/>
    </row>
    <row r="99" spans="1:13" ht="41.4">
      <c r="A99" s="2" t="s">
        <v>428</v>
      </c>
      <c r="B99" s="40" t="s">
        <v>21</v>
      </c>
      <c r="C99" s="3" t="s">
        <v>22</v>
      </c>
      <c r="D99" s="3" t="s">
        <v>433</v>
      </c>
      <c r="E99" s="3"/>
      <c r="F99" s="3"/>
      <c r="G99" s="2">
        <v>0.5</v>
      </c>
      <c r="H99" s="2">
        <v>4</v>
      </c>
      <c r="I99" s="3" t="s">
        <v>8</v>
      </c>
      <c r="J99" s="3"/>
      <c r="K99" s="3" t="s">
        <v>8</v>
      </c>
      <c r="M99" s="2"/>
    </row>
    <row r="100" spans="1:13" ht="27.6">
      <c r="A100" s="2" t="s">
        <v>426</v>
      </c>
      <c r="B100" s="40" t="s">
        <v>53</v>
      </c>
      <c r="C100" s="3" t="s">
        <v>54</v>
      </c>
      <c r="D100" s="3" t="s">
        <v>434</v>
      </c>
      <c r="E100" s="3"/>
      <c r="F100" s="3"/>
      <c r="G100" s="2">
        <v>0.3</v>
      </c>
      <c r="H100" s="2">
        <v>4</v>
      </c>
      <c r="I100" s="3" t="s">
        <v>9</v>
      </c>
      <c r="J100" s="3"/>
      <c r="K100" s="2"/>
    </row>
    <row r="101" spans="1:13" ht="151.80000000000001">
      <c r="A101" s="2" t="s">
        <v>429</v>
      </c>
      <c r="C101" s="3" t="s">
        <v>335</v>
      </c>
      <c r="D101" s="3" t="s">
        <v>496</v>
      </c>
      <c r="E101" s="33" t="s">
        <v>497</v>
      </c>
      <c r="F101" s="3"/>
      <c r="G101" s="2">
        <v>0.2</v>
      </c>
      <c r="H101" s="2">
        <v>2</v>
      </c>
      <c r="I101" s="3" t="s">
        <v>14</v>
      </c>
      <c r="J101" s="3"/>
    </row>
    <row r="102" spans="1:13" ht="165.6">
      <c r="A102" s="2" t="s">
        <v>425</v>
      </c>
      <c r="C102" s="3" t="s">
        <v>386</v>
      </c>
      <c r="D102" s="3" t="s">
        <v>500</v>
      </c>
      <c r="E102" s="33" t="s">
        <v>501</v>
      </c>
      <c r="F102" s="33" t="s">
        <v>502</v>
      </c>
      <c r="G102" s="2">
        <v>0.2</v>
      </c>
      <c r="H102" s="2">
        <v>3</v>
      </c>
      <c r="I102" s="3" t="s">
        <v>8</v>
      </c>
      <c r="J102" s="3"/>
    </row>
    <row r="103" spans="1:13" ht="82.8">
      <c r="A103" s="2" t="s">
        <v>429</v>
      </c>
      <c r="C103" s="3" t="s">
        <v>332</v>
      </c>
      <c r="D103" s="3" t="s">
        <v>528</v>
      </c>
      <c r="E103" s="3"/>
      <c r="F103" s="3" t="s">
        <v>495</v>
      </c>
      <c r="G103" s="2">
        <v>0.2</v>
      </c>
      <c r="H103" s="2">
        <v>3</v>
      </c>
      <c r="I103" s="3" t="s">
        <v>14</v>
      </c>
      <c r="J103" s="3"/>
      <c r="M103" s="2"/>
    </row>
    <row r="104" spans="1:13" ht="27.6">
      <c r="A104" s="2" t="s">
        <v>425</v>
      </c>
      <c r="C104" s="17" t="s">
        <v>566</v>
      </c>
    </row>
    <row r="105" spans="1:13" ht="110.4">
      <c r="A105" s="2" t="s">
        <v>429</v>
      </c>
      <c r="B105" s="2" t="s">
        <v>33</v>
      </c>
      <c r="C105" s="3" t="s">
        <v>34</v>
      </c>
      <c r="D105" s="3" t="s">
        <v>522</v>
      </c>
      <c r="E105" s="33" t="s">
        <v>488</v>
      </c>
      <c r="F105" s="33" t="s">
        <v>520</v>
      </c>
      <c r="G105" s="2">
        <v>0.6</v>
      </c>
      <c r="H105" s="2">
        <v>4</v>
      </c>
      <c r="I105" s="3" t="s">
        <v>8</v>
      </c>
      <c r="J105" s="3"/>
      <c r="K105" s="2"/>
      <c r="M105" s="2"/>
    </row>
    <row r="106" spans="1:13">
      <c r="C106" s="3" t="s">
        <v>639</v>
      </c>
    </row>
    <row r="107" spans="1:13">
      <c r="C107" s="3" t="s">
        <v>640</v>
      </c>
    </row>
    <row r="108" spans="1:13">
      <c r="C108" s="3" t="s">
        <v>641</v>
      </c>
    </row>
    <row r="109" spans="1:13" ht="27.6">
      <c r="C109" s="3" t="s">
        <v>642</v>
      </c>
    </row>
    <row r="110" spans="1:13">
      <c r="C110" s="3" t="s">
        <v>643</v>
      </c>
    </row>
    <row r="111" spans="1:13">
      <c r="C111" s="3" t="s">
        <v>644</v>
      </c>
      <c r="D111" s="5" t="s">
        <v>645</v>
      </c>
    </row>
    <row r="112" spans="1:13" ht="41.4">
      <c r="C112" s="3" t="s">
        <v>646</v>
      </c>
    </row>
    <row r="113" spans="3:5" ht="27.6">
      <c r="C113" s="3" t="s">
        <v>647</v>
      </c>
    </row>
    <row r="114" spans="3:5" ht="55.2">
      <c r="C114" s="3" t="s">
        <v>648</v>
      </c>
    </row>
    <row r="115" spans="3:5">
      <c r="D115" t="s">
        <v>664</v>
      </c>
    </row>
    <row r="116" spans="3:5">
      <c r="D116" t="s">
        <v>665</v>
      </c>
    </row>
    <row r="117" spans="3:5">
      <c r="D117" t="s">
        <v>666</v>
      </c>
      <c r="E117" s="5" t="s">
        <v>667</v>
      </c>
    </row>
    <row r="118" spans="3:5">
      <c r="D118" t="s">
        <v>668</v>
      </c>
    </row>
    <row r="119" spans="3:5">
      <c r="D119" t="s">
        <v>669</v>
      </c>
    </row>
    <row r="120" spans="3:5">
      <c r="D120" t="s">
        <v>670</v>
      </c>
    </row>
    <row r="121" spans="3:5">
      <c r="D121" t="s">
        <v>671</v>
      </c>
    </row>
    <row r="122" spans="3:5">
      <c r="D122" t="s">
        <v>672</v>
      </c>
      <c r="E122" s="5" t="s">
        <v>673</v>
      </c>
    </row>
    <row r="123" spans="3:5">
      <c r="D123" t="s">
        <v>674</v>
      </c>
    </row>
    <row r="124" spans="3:5">
      <c r="D124" t="s">
        <v>675</v>
      </c>
    </row>
    <row r="125" spans="3:5">
      <c r="D125" t="s">
        <v>676</v>
      </c>
    </row>
    <row r="126" spans="3:5">
      <c r="D126" t="s">
        <v>677</v>
      </c>
    </row>
    <row r="127" spans="3:5">
      <c r="D127" t="s">
        <v>678</v>
      </c>
    </row>
    <row r="128" spans="3:5">
      <c r="D128" t="s">
        <v>679</v>
      </c>
    </row>
    <row r="129" spans="4:5">
      <c r="D129" t="s">
        <v>680</v>
      </c>
    </row>
    <row r="130" spans="4:5">
      <c r="D130" t="s">
        <v>681</v>
      </c>
    </row>
    <row r="131" spans="4:5">
      <c r="D131" t="s">
        <v>682</v>
      </c>
    </row>
    <row r="132" spans="4:5">
      <c r="D132" t="s">
        <v>666</v>
      </c>
    </row>
    <row r="133" spans="4:5">
      <c r="D133" t="s">
        <v>683</v>
      </c>
    </row>
    <row r="134" spans="4:5">
      <c r="D134" t="s">
        <v>684</v>
      </c>
    </row>
    <row r="135" spans="4:5">
      <c r="D135" t="s">
        <v>685</v>
      </c>
    </row>
    <row r="136" spans="4:5">
      <c r="D136" t="s">
        <v>686</v>
      </c>
      <c r="E136" s="5" t="s">
        <v>687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089DD-60E7-435A-A2E0-E6886B132143}">
  <dimension ref="A1:L11"/>
  <sheetViews>
    <sheetView rightToLeft="1" workbookViewId="0">
      <selection activeCell="D5" sqref="D5"/>
    </sheetView>
  </sheetViews>
  <sheetFormatPr defaultRowHeight="14.4"/>
  <cols>
    <col min="1" max="1" width="12.88671875" customWidth="1"/>
    <col min="2" max="2" width="14.6640625" customWidth="1"/>
    <col min="3" max="3" width="11.88671875" customWidth="1"/>
    <col min="4" max="4" width="23.88671875" customWidth="1"/>
    <col min="7" max="7" width="10.33203125" customWidth="1"/>
    <col min="8" max="8" width="10.77734375" customWidth="1"/>
    <col min="9" max="9" width="11.77734375" customWidth="1"/>
    <col min="10" max="10" width="12.33203125" customWidth="1"/>
    <col min="11" max="11" width="23.5546875" customWidth="1"/>
    <col min="12" max="12" width="42.44140625" customWidth="1"/>
  </cols>
  <sheetData>
    <row r="1" spans="1:12">
      <c r="A1" s="16" t="s">
        <v>150</v>
      </c>
    </row>
    <row r="2" spans="1:12" ht="41.4">
      <c r="A2" s="9" t="s">
        <v>7</v>
      </c>
      <c r="B2" s="9" t="s">
        <v>6</v>
      </c>
      <c r="C2" s="9" t="s">
        <v>152</v>
      </c>
      <c r="D2" s="9" t="s">
        <v>5</v>
      </c>
      <c r="E2" s="9" t="s">
        <v>3</v>
      </c>
      <c r="F2" s="9" t="s">
        <v>4</v>
      </c>
      <c r="G2" s="9" t="s">
        <v>57</v>
      </c>
      <c r="H2" s="9" t="s">
        <v>1</v>
      </c>
      <c r="I2" s="9" t="s">
        <v>202</v>
      </c>
      <c r="J2" s="9" t="s">
        <v>0</v>
      </c>
      <c r="K2" s="9" t="s">
        <v>151</v>
      </c>
      <c r="L2" s="9" t="s">
        <v>105</v>
      </c>
    </row>
    <row r="3" spans="1:12">
      <c r="A3" t="s">
        <v>52</v>
      </c>
      <c r="B3" t="s">
        <v>303</v>
      </c>
      <c r="C3" t="s">
        <v>125</v>
      </c>
      <c r="D3" t="s">
        <v>423</v>
      </c>
      <c r="F3">
        <v>90</v>
      </c>
      <c r="G3" t="s">
        <v>9</v>
      </c>
      <c r="H3" t="s">
        <v>352</v>
      </c>
      <c r="I3" s="19"/>
    </row>
    <row r="4" spans="1:12">
      <c r="A4" t="s">
        <v>63</v>
      </c>
      <c r="B4" t="s">
        <v>82</v>
      </c>
      <c r="C4" t="s">
        <v>153</v>
      </c>
      <c r="D4" t="s">
        <v>423</v>
      </c>
      <c r="F4">
        <v>80</v>
      </c>
      <c r="G4" t="s">
        <v>8</v>
      </c>
      <c r="H4" t="s">
        <v>351</v>
      </c>
      <c r="L4" s="5"/>
    </row>
    <row r="5" spans="1:12" ht="28.8">
      <c r="A5" t="s">
        <v>136</v>
      </c>
      <c r="B5" t="s">
        <v>295</v>
      </c>
      <c r="C5" t="s">
        <v>154</v>
      </c>
      <c r="E5">
        <v>0.5</v>
      </c>
      <c r="F5">
        <v>90</v>
      </c>
      <c r="G5" t="s">
        <v>9</v>
      </c>
      <c r="K5" t="s">
        <v>290</v>
      </c>
      <c r="L5" s="5" t="s">
        <v>302</v>
      </c>
    </row>
    <row r="6" spans="1:12">
      <c r="A6" t="s">
        <v>133</v>
      </c>
      <c r="B6" t="s">
        <v>296</v>
      </c>
      <c r="C6" t="s">
        <v>154</v>
      </c>
      <c r="E6">
        <v>0</v>
      </c>
      <c r="F6">
        <v>10</v>
      </c>
      <c r="G6" t="s">
        <v>8</v>
      </c>
      <c r="K6" t="s">
        <v>291</v>
      </c>
    </row>
    <row r="7" spans="1:12">
      <c r="A7" t="s">
        <v>134</v>
      </c>
      <c r="B7" t="s">
        <v>297</v>
      </c>
      <c r="C7" t="s">
        <v>154</v>
      </c>
      <c r="E7">
        <v>0</v>
      </c>
      <c r="F7">
        <v>0</v>
      </c>
      <c r="G7" t="s">
        <v>8</v>
      </c>
      <c r="K7" t="s">
        <v>293</v>
      </c>
    </row>
    <row r="8" spans="1:12">
      <c r="A8" t="s">
        <v>135</v>
      </c>
      <c r="B8" t="s">
        <v>298</v>
      </c>
      <c r="C8" t="s">
        <v>154</v>
      </c>
      <c r="E8">
        <v>0</v>
      </c>
      <c r="F8">
        <v>0</v>
      </c>
      <c r="G8" t="s">
        <v>8</v>
      </c>
      <c r="K8" t="s">
        <v>292</v>
      </c>
    </row>
    <row r="9" spans="1:12">
      <c r="A9" t="s">
        <v>289</v>
      </c>
      <c r="C9" t="s">
        <v>154</v>
      </c>
      <c r="E9">
        <v>0.3</v>
      </c>
      <c r="F9">
        <v>50</v>
      </c>
      <c r="G9" t="s">
        <v>9</v>
      </c>
      <c r="K9" t="s">
        <v>294</v>
      </c>
    </row>
    <row r="10" spans="1:12">
      <c r="A10" t="s">
        <v>299</v>
      </c>
      <c r="B10" t="s">
        <v>301</v>
      </c>
      <c r="C10" t="s">
        <v>154</v>
      </c>
      <c r="E10">
        <v>0.4</v>
      </c>
      <c r="F10">
        <v>60</v>
      </c>
      <c r="G10" t="s">
        <v>8</v>
      </c>
      <c r="K10" s="5" t="s">
        <v>300</v>
      </c>
    </row>
    <row r="11" spans="1:12" ht="28.8">
      <c r="A11" t="s">
        <v>341</v>
      </c>
      <c r="B11" t="s">
        <v>342</v>
      </c>
      <c r="C11" t="s">
        <v>154</v>
      </c>
      <c r="D11" t="s">
        <v>424</v>
      </c>
      <c r="E11">
        <v>0.5</v>
      </c>
      <c r="F11">
        <v>80</v>
      </c>
      <c r="G11" t="s">
        <v>9</v>
      </c>
      <c r="K11" s="5" t="s">
        <v>353</v>
      </c>
      <c r="L11" t="s">
        <v>354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B4537-96F8-4545-983B-184D65EBDB8F}">
  <dimension ref="A1:J51"/>
  <sheetViews>
    <sheetView rightToLeft="1" workbookViewId="0">
      <selection activeCell="E8" sqref="E8"/>
    </sheetView>
  </sheetViews>
  <sheetFormatPr defaultRowHeight="14.4"/>
  <cols>
    <col min="1" max="1" width="8.88671875" style="5"/>
    <col min="2" max="2" width="16.88671875" style="5" customWidth="1"/>
    <col min="3" max="3" width="13" style="5" customWidth="1"/>
    <col min="4" max="4" width="14.109375" style="5" customWidth="1"/>
    <col min="5" max="5" width="13" style="5" customWidth="1"/>
    <col min="6" max="6" width="17.109375" style="5" customWidth="1"/>
    <col min="7" max="7" width="25.109375" style="5" customWidth="1"/>
    <col min="8" max="8" width="11.5546875" style="5" bestFit="1" customWidth="1"/>
    <col min="9" max="9" width="44.44140625" style="5" customWidth="1"/>
    <col min="10" max="10" width="11.5546875" style="5" bestFit="1" customWidth="1"/>
    <col min="11" max="16384" width="8.88671875" style="5"/>
  </cols>
  <sheetData>
    <row r="1" spans="1:10">
      <c r="A1" s="14" t="s">
        <v>139</v>
      </c>
    </row>
    <row r="3" spans="1:10">
      <c r="A3" s="14" t="s">
        <v>171</v>
      </c>
      <c r="E3" t="s">
        <v>410</v>
      </c>
    </row>
    <row r="4" spans="1:10" ht="27.6">
      <c r="A4" s="7" t="s">
        <v>6</v>
      </c>
      <c r="B4" s="7" t="s">
        <v>61</v>
      </c>
      <c r="C4" s="7" t="s">
        <v>127</v>
      </c>
      <c r="D4" s="7" t="s">
        <v>167</v>
      </c>
      <c r="E4" s="7" t="s">
        <v>140</v>
      </c>
      <c r="F4" s="7" t="s">
        <v>141</v>
      </c>
      <c r="G4" s="7" t="s">
        <v>149</v>
      </c>
    </row>
    <row r="5" spans="1:10" ht="28.8">
      <c r="C5" s="5" t="s">
        <v>173</v>
      </c>
      <c r="D5" s="5" t="s">
        <v>183</v>
      </c>
      <c r="E5" s="5" t="s">
        <v>174</v>
      </c>
      <c r="F5" s="5" t="s">
        <v>175</v>
      </c>
      <c r="G5" s="5" t="s">
        <v>165</v>
      </c>
    </row>
    <row r="8" spans="1:10">
      <c r="A8" s="14" t="s">
        <v>172</v>
      </c>
      <c r="E8" t="s">
        <v>411</v>
      </c>
    </row>
    <row r="9" spans="1:10" ht="41.4">
      <c r="A9" s="7" t="s">
        <v>6</v>
      </c>
      <c r="B9" s="7" t="s">
        <v>61</v>
      </c>
      <c r="C9" s="7" t="s">
        <v>166</v>
      </c>
      <c r="D9" s="7" t="s">
        <v>168</v>
      </c>
      <c r="E9" s="7" t="s">
        <v>60</v>
      </c>
      <c r="F9" s="7" t="s">
        <v>140</v>
      </c>
      <c r="G9" s="7" t="s">
        <v>170</v>
      </c>
      <c r="H9" s="7" t="s">
        <v>169</v>
      </c>
      <c r="I9" s="7" t="s">
        <v>149</v>
      </c>
      <c r="J9"/>
    </row>
    <row r="10" spans="1:10" ht="43.2">
      <c r="C10" s="5" t="s">
        <v>176</v>
      </c>
      <c r="D10" s="5" t="s">
        <v>177</v>
      </c>
      <c r="E10" s="5" t="s">
        <v>178</v>
      </c>
      <c r="F10" s="5" t="s">
        <v>179</v>
      </c>
      <c r="G10" s="5" t="s">
        <v>180</v>
      </c>
      <c r="H10" s="5" t="s">
        <v>181</v>
      </c>
      <c r="I10" s="5" t="s">
        <v>182</v>
      </c>
      <c r="J10" s="17"/>
    </row>
    <row r="11" spans="1:10">
      <c r="F11" s="18"/>
      <c r="G11" s="18"/>
      <c r="H11" s="17"/>
      <c r="I11" s="17"/>
      <c r="J11"/>
    </row>
    <row r="12" spans="1:10">
      <c r="A12"/>
      <c r="B12"/>
      <c r="C12"/>
      <c r="D12"/>
      <c r="E12"/>
      <c r="F12"/>
      <c r="G12"/>
      <c r="H12"/>
      <c r="I12"/>
      <c r="J12"/>
    </row>
    <row r="13" spans="1:10" ht="15.6">
      <c r="A13" s="23" t="s">
        <v>184</v>
      </c>
      <c r="B13" s="17"/>
      <c r="C13" s="17"/>
      <c r="D13" s="17"/>
      <c r="E13" s="18"/>
      <c r="F13"/>
      <c r="G13"/>
      <c r="H13"/>
      <c r="I13"/>
      <c r="J13"/>
    </row>
    <row r="14" spans="1:10">
      <c r="J14"/>
    </row>
    <row r="15" spans="1:10">
      <c r="J15"/>
    </row>
    <row r="16" spans="1:10">
      <c r="B16"/>
      <c r="C16"/>
      <c r="D16"/>
      <c r="E16"/>
      <c r="F16"/>
      <c r="G16"/>
      <c r="H16"/>
      <c r="I16"/>
      <c r="J16"/>
    </row>
    <row r="17" spans="1:9">
      <c r="A17" s="4"/>
    </row>
    <row r="19" spans="1:9">
      <c r="A19" s="19"/>
      <c r="B19" s="18"/>
      <c r="C19" s="18"/>
      <c r="D19" s="18"/>
      <c r="E19" s="18"/>
      <c r="F19" s="18"/>
      <c r="G19" s="18"/>
      <c r="H19" s="18"/>
      <c r="I19" s="18"/>
    </row>
    <row r="20" spans="1:9">
      <c r="A20" s="1"/>
      <c r="B20" s="1"/>
      <c r="C20" s="6"/>
      <c r="D20" s="6"/>
      <c r="E20" s="1"/>
      <c r="F20" s="1"/>
      <c r="G20" s="6"/>
      <c r="H20" s="6"/>
      <c r="I20" s="6"/>
    </row>
    <row r="21" spans="1:9">
      <c r="A21" s="1"/>
      <c r="B21" s="1"/>
      <c r="C21" s="6"/>
      <c r="D21" s="6"/>
      <c r="E21" s="1"/>
      <c r="F21" s="1"/>
      <c r="G21" s="6"/>
      <c r="H21" s="6"/>
      <c r="I21" s="6"/>
    </row>
    <row r="22" spans="1:9">
      <c r="A22" s="1"/>
      <c r="B22" s="1"/>
      <c r="C22" s="6"/>
      <c r="D22" s="1"/>
      <c r="E22" s="1"/>
      <c r="F22" s="1"/>
      <c r="G22" s="6"/>
      <c r="H22" s="6"/>
      <c r="I22" s="6"/>
    </row>
    <row r="23" spans="1:9">
      <c r="A23" s="1"/>
      <c r="B23" s="1"/>
      <c r="C23" s="6"/>
      <c r="D23" s="6"/>
      <c r="E23" s="1"/>
      <c r="F23" s="1"/>
      <c r="G23" s="6"/>
      <c r="H23" s="6"/>
      <c r="I23" s="6"/>
    </row>
    <row r="24" spans="1:9">
      <c r="A24" s="1"/>
      <c r="B24" s="1"/>
      <c r="C24" s="6"/>
      <c r="D24" s="6"/>
      <c r="E24" s="1"/>
      <c r="F24" s="1"/>
      <c r="G24" s="6"/>
      <c r="H24" s="6"/>
      <c r="I24" s="6"/>
    </row>
    <row r="28" spans="1:9">
      <c r="B28"/>
    </row>
    <row r="29" spans="1:9">
      <c r="B29"/>
    </row>
    <row r="30" spans="1:9">
      <c r="B30"/>
    </row>
    <row r="31" spans="1:9">
      <c r="B31"/>
    </row>
    <row r="32" spans="1:9">
      <c r="B32"/>
    </row>
    <row r="33" spans="2:9">
      <c r="B33"/>
    </row>
    <row r="35" spans="2:9">
      <c r="B35" s="14"/>
    </row>
    <row r="37" spans="2:9">
      <c r="B37"/>
      <c r="I37"/>
    </row>
    <row r="38" spans="2:9">
      <c r="I38"/>
    </row>
    <row r="39" spans="2:9">
      <c r="I39"/>
    </row>
    <row r="41" spans="2:9">
      <c r="I41"/>
    </row>
    <row r="49" spans="2:2">
      <c r="B49"/>
    </row>
    <row r="51" spans="2:2">
      <c r="B5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82F6D-1248-4EE3-8D30-0A86E7B5E4BF}">
  <dimension ref="A1:M12"/>
  <sheetViews>
    <sheetView rightToLeft="1" workbookViewId="0">
      <selection activeCell="G4" sqref="G4"/>
    </sheetView>
  </sheetViews>
  <sheetFormatPr defaultRowHeight="14.4"/>
  <cols>
    <col min="1" max="1" width="15.21875" customWidth="1"/>
    <col min="2" max="2" width="17.88671875" customWidth="1"/>
    <col min="3" max="3" width="11.33203125" customWidth="1"/>
    <col min="4" max="4" width="13.44140625" customWidth="1"/>
    <col min="5" max="5" width="8.88671875" customWidth="1"/>
    <col min="11" max="11" width="16.88671875" customWidth="1"/>
    <col min="12" max="12" width="37.33203125" customWidth="1"/>
    <col min="13" max="13" width="35" customWidth="1"/>
  </cols>
  <sheetData>
    <row r="1" spans="1:13">
      <c r="A1" s="14" t="s">
        <v>224</v>
      </c>
      <c r="K1" s="14" t="s">
        <v>304</v>
      </c>
    </row>
    <row r="2" spans="1:13">
      <c r="K2" t="s">
        <v>305</v>
      </c>
      <c r="L2" t="s">
        <v>306</v>
      </c>
    </row>
    <row r="3" spans="1:13" ht="57.6">
      <c r="A3" s="14" t="s">
        <v>225</v>
      </c>
      <c r="B3" s="13" t="s">
        <v>226</v>
      </c>
      <c r="C3" s="13" t="s">
        <v>227</v>
      </c>
      <c r="D3" s="14" t="s">
        <v>228</v>
      </c>
      <c r="E3" s="13" t="s">
        <v>231</v>
      </c>
      <c r="F3" s="13" t="s">
        <v>230</v>
      </c>
      <c r="G3" s="14" t="s">
        <v>229</v>
      </c>
      <c r="K3" t="s">
        <v>310</v>
      </c>
      <c r="L3" s="5" t="s">
        <v>311</v>
      </c>
      <c r="M3" s="5" t="s">
        <v>321</v>
      </c>
    </row>
    <row r="4" spans="1:13" ht="28.8">
      <c r="A4">
        <v>7</v>
      </c>
      <c r="B4">
        <v>5</v>
      </c>
      <c r="C4">
        <v>2</v>
      </c>
      <c r="D4">
        <f t="shared" ref="D4:D12" si="0">MIN(A4 * 5, 100)</f>
        <v>35</v>
      </c>
      <c r="E4">
        <f t="shared" ref="E4:E12" si="1">MAX(0, 100 - B4 * 10)</f>
        <v>50</v>
      </c>
      <c r="F4">
        <f t="shared" ref="F4:F12" si="2">MAX(0, 100 - C4 * 10)</f>
        <v>80</v>
      </c>
      <c r="G4">
        <f t="shared" ref="G4:G12" si="3">0.4*D4+0.2*E4+0.4*F4</f>
        <v>56</v>
      </c>
      <c r="K4" t="s">
        <v>307</v>
      </c>
      <c r="L4" s="5" t="s">
        <v>308</v>
      </c>
      <c r="M4" s="5" t="s">
        <v>322</v>
      </c>
    </row>
    <row r="5" spans="1:13" ht="43.2">
      <c r="A5">
        <v>3</v>
      </c>
      <c r="B5">
        <v>4</v>
      </c>
      <c r="C5">
        <v>2</v>
      </c>
      <c r="D5">
        <f t="shared" si="0"/>
        <v>15</v>
      </c>
      <c r="E5">
        <f t="shared" si="1"/>
        <v>60</v>
      </c>
      <c r="F5">
        <f t="shared" si="2"/>
        <v>80</v>
      </c>
      <c r="G5">
        <f t="shared" si="3"/>
        <v>50</v>
      </c>
      <c r="L5" s="5" t="s">
        <v>309</v>
      </c>
    </row>
    <row r="6" spans="1:13" ht="28.8">
      <c r="A6">
        <v>1</v>
      </c>
      <c r="B6">
        <v>1</v>
      </c>
      <c r="C6">
        <v>1</v>
      </c>
      <c r="D6">
        <f t="shared" si="0"/>
        <v>5</v>
      </c>
      <c r="E6">
        <f t="shared" si="1"/>
        <v>90</v>
      </c>
      <c r="F6">
        <f t="shared" si="2"/>
        <v>90</v>
      </c>
      <c r="G6">
        <f t="shared" si="3"/>
        <v>56</v>
      </c>
      <c r="K6" t="s">
        <v>312</v>
      </c>
      <c r="L6" s="5" t="s">
        <v>313</v>
      </c>
    </row>
    <row r="7" spans="1:13">
      <c r="A7">
        <v>3</v>
      </c>
      <c r="B7">
        <v>10</v>
      </c>
      <c r="C7">
        <v>6</v>
      </c>
      <c r="D7">
        <f t="shared" si="0"/>
        <v>15</v>
      </c>
      <c r="E7">
        <f t="shared" si="1"/>
        <v>0</v>
      </c>
      <c r="F7">
        <f t="shared" si="2"/>
        <v>40</v>
      </c>
      <c r="G7">
        <f t="shared" si="3"/>
        <v>22</v>
      </c>
      <c r="L7" s="5" t="s">
        <v>314</v>
      </c>
    </row>
    <row r="8" spans="1:13" ht="28.8">
      <c r="A8">
        <v>14</v>
      </c>
      <c r="B8">
        <v>4</v>
      </c>
      <c r="C8">
        <v>4</v>
      </c>
      <c r="D8">
        <f t="shared" si="0"/>
        <v>70</v>
      </c>
      <c r="E8">
        <f t="shared" si="1"/>
        <v>60</v>
      </c>
      <c r="F8">
        <f t="shared" si="2"/>
        <v>60</v>
      </c>
      <c r="G8">
        <f t="shared" si="3"/>
        <v>64</v>
      </c>
      <c r="K8" t="s">
        <v>316</v>
      </c>
      <c r="L8" s="5" t="s">
        <v>315</v>
      </c>
    </row>
    <row r="9" spans="1:13" ht="27">
      <c r="A9">
        <v>1</v>
      </c>
      <c r="B9">
        <v>10</v>
      </c>
      <c r="C9">
        <v>5</v>
      </c>
      <c r="D9">
        <f t="shared" si="0"/>
        <v>5</v>
      </c>
      <c r="E9">
        <f t="shared" si="1"/>
        <v>0</v>
      </c>
      <c r="F9">
        <f t="shared" si="2"/>
        <v>50</v>
      </c>
      <c r="G9">
        <f t="shared" si="3"/>
        <v>22</v>
      </c>
      <c r="K9" s="14" t="s">
        <v>318</v>
      </c>
      <c r="L9" s="32" t="s">
        <v>317</v>
      </c>
    </row>
    <row r="10" spans="1:13">
      <c r="A10">
        <v>2</v>
      </c>
      <c r="B10">
        <v>40</v>
      </c>
      <c r="C10">
        <v>10</v>
      </c>
      <c r="D10">
        <f t="shared" si="0"/>
        <v>10</v>
      </c>
      <c r="E10">
        <f t="shared" si="1"/>
        <v>0</v>
      </c>
      <c r="F10">
        <f t="shared" si="2"/>
        <v>0</v>
      </c>
      <c r="G10">
        <f t="shared" si="3"/>
        <v>4</v>
      </c>
    </row>
    <row r="11" spans="1:13" ht="28.8">
      <c r="A11">
        <v>7</v>
      </c>
      <c r="B11">
        <v>40</v>
      </c>
      <c r="C11">
        <v>10</v>
      </c>
      <c r="D11">
        <f t="shared" si="0"/>
        <v>35</v>
      </c>
      <c r="E11">
        <f t="shared" si="1"/>
        <v>0</v>
      </c>
      <c r="F11">
        <f t="shared" si="2"/>
        <v>0</v>
      </c>
      <c r="G11">
        <f t="shared" si="3"/>
        <v>14</v>
      </c>
      <c r="K11" s="5" t="s">
        <v>320</v>
      </c>
      <c r="L11" s="5" t="s">
        <v>319</v>
      </c>
    </row>
    <row r="12" spans="1:13">
      <c r="A12">
        <v>14</v>
      </c>
      <c r="B12">
        <v>40</v>
      </c>
      <c r="C12">
        <v>10</v>
      </c>
      <c r="D12">
        <f t="shared" si="0"/>
        <v>70</v>
      </c>
      <c r="E12">
        <f t="shared" si="1"/>
        <v>0</v>
      </c>
      <c r="F12">
        <f t="shared" si="2"/>
        <v>0</v>
      </c>
      <c r="G12">
        <f t="shared" si="3"/>
        <v>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5149E-0B86-4D57-8B9A-686514500CE9}">
  <dimension ref="B1:M20"/>
  <sheetViews>
    <sheetView rightToLeft="1" workbookViewId="0">
      <selection activeCell="M8" sqref="M8"/>
    </sheetView>
  </sheetViews>
  <sheetFormatPr defaultRowHeight="14.4"/>
  <cols>
    <col min="2" max="2" width="15.44140625" customWidth="1"/>
    <col min="3" max="3" width="11.5546875" bestFit="1" customWidth="1"/>
    <col min="4" max="4" width="9.109375" customWidth="1"/>
    <col min="9" max="9" width="14.5546875" customWidth="1"/>
  </cols>
  <sheetData>
    <row r="1" spans="2:13">
      <c r="B1" s="14" t="s">
        <v>155</v>
      </c>
      <c r="G1" s="24" t="s">
        <v>162</v>
      </c>
      <c r="J1" s="19" t="s">
        <v>164</v>
      </c>
    </row>
    <row r="3" spans="2:13">
      <c r="B3" s="5"/>
      <c r="C3" s="5" t="s">
        <v>126</v>
      </c>
      <c r="E3" s="5"/>
      <c r="F3" s="5" t="s">
        <v>128</v>
      </c>
      <c r="H3" s="5"/>
      <c r="I3" s="5"/>
      <c r="J3" s="5"/>
      <c r="K3" s="5"/>
      <c r="L3" s="5"/>
    </row>
    <row r="4" spans="2:13" ht="28.8">
      <c r="B4" s="5" t="s">
        <v>7</v>
      </c>
      <c r="C4" s="13" t="s">
        <v>142</v>
      </c>
      <c r="D4" s="13" t="s">
        <v>143</v>
      </c>
      <c r="E4" s="13" t="s">
        <v>144</v>
      </c>
      <c r="F4" s="13" t="s">
        <v>145</v>
      </c>
      <c r="G4" s="13" t="s">
        <v>146</v>
      </c>
      <c r="H4" s="13" t="s">
        <v>147</v>
      </c>
      <c r="I4" s="5" t="s">
        <v>130</v>
      </c>
      <c r="J4" s="5" t="s">
        <v>148</v>
      </c>
      <c r="K4" s="5" t="s">
        <v>138</v>
      </c>
      <c r="L4" s="5" t="s">
        <v>131</v>
      </c>
      <c r="M4" s="13" t="s">
        <v>137</v>
      </c>
    </row>
    <row r="5" spans="2:13">
      <c r="B5" s="5" t="s">
        <v>10</v>
      </c>
      <c r="C5" s="5">
        <v>85</v>
      </c>
      <c r="D5" s="5">
        <v>20</v>
      </c>
      <c r="E5" s="5">
        <v>0.6</v>
      </c>
      <c r="F5" s="5">
        <v>85</v>
      </c>
      <c r="G5" s="5">
        <v>20</v>
      </c>
      <c r="H5" s="5">
        <v>0.8</v>
      </c>
      <c r="I5" s="15">
        <f>SQRT(H5*E5)</f>
        <v>0.69282032302755092</v>
      </c>
      <c r="J5" s="15">
        <f>(C5+F5)/2</f>
        <v>85</v>
      </c>
      <c r="K5" s="15">
        <f>I5*J5</f>
        <v>58.889727457341827</v>
      </c>
      <c r="L5" s="5">
        <f>100-ABS(G5-D5)</f>
        <v>100</v>
      </c>
      <c r="M5">
        <f>L5*K5</f>
        <v>5888.9727457341824</v>
      </c>
    </row>
    <row r="6" spans="2:13">
      <c r="B6" s="5" t="s">
        <v>15</v>
      </c>
      <c r="C6" s="5">
        <v>60</v>
      </c>
      <c r="D6" s="5">
        <v>50</v>
      </c>
      <c r="E6" s="5">
        <v>0.5</v>
      </c>
      <c r="F6" s="5">
        <v>80</v>
      </c>
      <c r="G6" s="5">
        <v>60</v>
      </c>
      <c r="H6" s="5">
        <v>0.6</v>
      </c>
      <c r="I6" s="15">
        <f>SQRT(H6*E6)</f>
        <v>0.54772255750516607</v>
      </c>
      <c r="J6" s="15">
        <f>(C6+F6)/2</f>
        <v>70</v>
      </c>
      <c r="K6" s="15">
        <f>I6*J6</f>
        <v>38.340579025361627</v>
      </c>
      <c r="L6" s="5">
        <f>100-ABS(G6-D6)</f>
        <v>90</v>
      </c>
      <c r="M6">
        <f>L6*K6</f>
        <v>3450.6521122825466</v>
      </c>
    </row>
    <row r="7" spans="2:13">
      <c r="B7" s="5" t="s">
        <v>32</v>
      </c>
      <c r="C7" s="5">
        <v>30</v>
      </c>
      <c r="D7" s="5">
        <v>90</v>
      </c>
      <c r="E7" s="5">
        <v>0.3</v>
      </c>
      <c r="F7" s="5">
        <v>20</v>
      </c>
      <c r="G7" s="5">
        <v>24</v>
      </c>
      <c r="H7" s="5">
        <v>0.5</v>
      </c>
      <c r="I7" s="15">
        <f>SQRT(H7*E7)</f>
        <v>0.3872983346207417</v>
      </c>
      <c r="J7" s="15">
        <f>(C7+F7)/2</f>
        <v>25</v>
      </c>
      <c r="K7" s="15">
        <f>I7*J7</f>
        <v>9.6824583655185421</v>
      </c>
      <c r="L7" s="5">
        <f>100-ABS(G7-D7)</f>
        <v>34</v>
      </c>
      <c r="M7">
        <f>L7*K7</f>
        <v>329.2035844276304</v>
      </c>
    </row>
    <row r="8" spans="2:13">
      <c r="B8" s="5"/>
      <c r="C8" s="5"/>
      <c r="D8" s="5"/>
      <c r="E8" s="5"/>
      <c r="F8" s="5"/>
      <c r="G8" s="5"/>
      <c r="H8" s="5"/>
      <c r="I8" s="15">
        <f>SUM(I5:I7)</f>
        <v>1.6278412151534587</v>
      </c>
      <c r="J8" s="15"/>
      <c r="K8" s="13">
        <f>SUM(K5:K7)/5</f>
        <v>21.382552969644401</v>
      </c>
      <c r="L8" s="13">
        <f>SUM(L5:L7)/5</f>
        <v>44.8</v>
      </c>
      <c r="M8" s="14">
        <f>SUM(M5:M7)/SUM(K5:K7)</f>
        <v>90.436613964390943</v>
      </c>
    </row>
    <row r="9" spans="2:13">
      <c r="B9" s="5"/>
      <c r="C9" s="5"/>
      <c r="D9" s="5"/>
      <c r="E9" s="5"/>
      <c r="F9" s="5"/>
      <c r="G9" s="5"/>
      <c r="H9" s="5"/>
      <c r="I9" s="5">
        <f>I8/5</f>
        <v>0.32556824303069176</v>
      </c>
      <c r="J9" s="15"/>
      <c r="K9" s="15"/>
      <c r="L9" s="5"/>
    </row>
    <row r="10" spans="2:13">
      <c r="B10" s="5"/>
      <c r="C10" s="5"/>
      <c r="D10" s="5"/>
      <c r="E10" s="5"/>
      <c r="F10" s="5"/>
      <c r="G10" s="5"/>
      <c r="H10" s="5"/>
      <c r="I10" s="5"/>
      <c r="J10" s="5"/>
      <c r="K10" s="5"/>
      <c r="L10" s="5"/>
    </row>
    <row r="11" spans="2:13">
      <c r="B11" s="5"/>
      <c r="C11" s="5"/>
      <c r="D11" s="5"/>
      <c r="E11" s="5"/>
      <c r="F11" s="5"/>
      <c r="G11" s="5"/>
      <c r="H11" s="5"/>
      <c r="I11" s="5"/>
      <c r="J11" s="5"/>
      <c r="K11" s="5"/>
      <c r="L11" s="5"/>
    </row>
    <row r="12" spans="2:13" ht="28.8">
      <c r="B12" s="5" t="s">
        <v>7</v>
      </c>
      <c r="C12" s="13" t="s">
        <v>142</v>
      </c>
      <c r="D12" s="13" t="s">
        <v>143</v>
      </c>
      <c r="E12" s="13" t="s">
        <v>144</v>
      </c>
      <c r="F12" s="13" t="s">
        <v>145</v>
      </c>
      <c r="G12" s="13" t="s">
        <v>146</v>
      </c>
      <c r="H12" s="13" t="s">
        <v>147</v>
      </c>
      <c r="I12" s="5" t="s">
        <v>130</v>
      </c>
      <c r="J12" s="5" t="s">
        <v>148</v>
      </c>
      <c r="K12" s="5" t="s">
        <v>138</v>
      </c>
      <c r="L12" s="5" t="s">
        <v>131</v>
      </c>
      <c r="M12" s="13" t="s">
        <v>137</v>
      </c>
    </row>
    <row r="13" spans="2:13">
      <c r="B13" s="5" t="s">
        <v>129</v>
      </c>
      <c r="C13" s="5">
        <v>70</v>
      </c>
      <c r="D13" s="5">
        <v>80</v>
      </c>
      <c r="E13" s="5">
        <v>0.9</v>
      </c>
      <c r="F13" s="5">
        <v>80</v>
      </c>
      <c r="G13" s="5">
        <v>72</v>
      </c>
      <c r="H13" s="5">
        <v>0.9</v>
      </c>
      <c r="I13" s="15">
        <f t="shared" ref="I13:I18" si="0">SQRT(H13*E13)</f>
        <v>0.9</v>
      </c>
      <c r="J13" s="15">
        <f t="shared" ref="J13:J18" si="1">(C13+F13)/2</f>
        <v>75</v>
      </c>
      <c r="K13" s="15">
        <f t="shared" ref="K13:K18" si="2">I13*J13</f>
        <v>67.5</v>
      </c>
      <c r="L13" s="5">
        <f t="shared" ref="L13:L18" si="3">100-ABS(G13-D13)</f>
        <v>92</v>
      </c>
      <c r="M13">
        <f t="shared" ref="M13:M18" si="4">L13*K13</f>
        <v>6210</v>
      </c>
    </row>
    <row r="14" spans="2:13">
      <c r="B14" s="5" t="s">
        <v>10</v>
      </c>
      <c r="C14" s="5">
        <v>80</v>
      </c>
      <c r="D14" s="5">
        <v>20</v>
      </c>
      <c r="E14" s="5">
        <v>0.6</v>
      </c>
      <c r="F14" s="5">
        <v>80</v>
      </c>
      <c r="G14" s="5">
        <v>90</v>
      </c>
      <c r="H14" s="5">
        <v>0.1</v>
      </c>
      <c r="I14" s="15">
        <f t="shared" si="0"/>
        <v>0.2449489742783178</v>
      </c>
      <c r="J14" s="15">
        <f t="shared" si="1"/>
        <v>80</v>
      </c>
      <c r="K14" s="15">
        <f t="shared" si="2"/>
        <v>19.595917942265423</v>
      </c>
      <c r="L14" s="5">
        <f t="shared" si="3"/>
        <v>30</v>
      </c>
      <c r="M14">
        <f t="shared" si="4"/>
        <v>587.87753826796268</v>
      </c>
    </row>
    <row r="15" spans="2:13">
      <c r="B15" s="5" t="s">
        <v>15</v>
      </c>
      <c r="C15" s="5">
        <v>50</v>
      </c>
      <c r="D15" s="5">
        <v>50</v>
      </c>
      <c r="E15" s="5">
        <v>0.5</v>
      </c>
      <c r="F15" s="5">
        <v>50</v>
      </c>
      <c r="G15" s="5">
        <v>60</v>
      </c>
      <c r="H15" s="5">
        <v>0.6</v>
      </c>
      <c r="I15" s="15">
        <f t="shared" si="0"/>
        <v>0.54772255750516607</v>
      </c>
      <c r="J15" s="15">
        <f t="shared" si="1"/>
        <v>50</v>
      </c>
      <c r="K15" s="15">
        <f t="shared" si="2"/>
        <v>27.386127875258303</v>
      </c>
      <c r="L15" s="5">
        <f t="shared" si="3"/>
        <v>90</v>
      </c>
      <c r="M15">
        <f t="shared" si="4"/>
        <v>2464.7515087732472</v>
      </c>
    </row>
    <row r="16" spans="2:13">
      <c r="B16" s="5" t="s">
        <v>45</v>
      </c>
      <c r="C16" s="5">
        <v>100</v>
      </c>
      <c r="D16" s="5">
        <v>100</v>
      </c>
      <c r="E16" s="5">
        <v>1</v>
      </c>
      <c r="F16" s="5">
        <v>100</v>
      </c>
      <c r="G16" s="5">
        <v>20</v>
      </c>
      <c r="H16" s="5">
        <v>1</v>
      </c>
      <c r="I16" s="15">
        <f t="shared" si="0"/>
        <v>1</v>
      </c>
      <c r="J16" s="15">
        <f t="shared" si="1"/>
        <v>100</v>
      </c>
      <c r="K16" s="15">
        <f t="shared" si="2"/>
        <v>100</v>
      </c>
      <c r="L16" s="5">
        <f t="shared" si="3"/>
        <v>20</v>
      </c>
      <c r="M16">
        <f t="shared" si="4"/>
        <v>2000</v>
      </c>
    </row>
    <row r="17" spans="2:13">
      <c r="B17" s="5" t="s">
        <v>32</v>
      </c>
      <c r="C17" s="5">
        <v>100</v>
      </c>
      <c r="D17" s="5">
        <v>66</v>
      </c>
      <c r="E17" s="5">
        <v>0.3</v>
      </c>
      <c r="F17" s="5">
        <v>100</v>
      </c>
      <c r="G17" s="5">
        <v>24</v>
      </c>
      <c r="H17" s="5">
        <v>0.5</v>
      </c>
      <c r="I17" s="15">
        <f t="shared" si="0"/>
        <v>0.3872983346207417</v>
      </c>
      <c r="J17" s="15">
        <f t="shared" si="1"/>
        <v>100</v>
      </c>
      <c r="K17" s="15">
        <f t="shared" si="2"/>
        <v>38.729833462074168</v>
      </c>
      <c r="L17" s="5">
        <f t="shared" si="3"/>
        <v>58</v>
      </c>
      <c r="M17">
        <f t="shared" si="4"/>
        <v>2246.3303408003017</v>
      </c>
    </row>
    <row r="18" spans="2:13">
      <c r="B18" s="5" t="s">
        <v>43</v>
      </c>
      <c r="C18" s="5">
        <v>20</v>
      </c>
      <c r="D18" s="5">
        <v>40</v>
      </c>
      <c r="E18" s="5">
        <v>0.4</v>
      </c>
      <c r="F18" s="5">
        <v>100</v>
      </c>
      <c r="G18" s="5">
        <v>60</v>
      </c>
      <c r="H18" s="5">
        <v>0.8</v>
      </c>
      <c r="I18" s="15">
        <f t="shared" si="0"/>
        <v>0.56568542494923812</v>
      </c>
      <c r="J18" s="15">
        <f t="shared" si="1"/>
        <v>60</v>
      </c>
      <c r="K18" s="15">
        <f t="shared" si="2"/>
        <v>33.941125496954285</v>
      </c>
      <c r="L18" s="5">
        <f t="shared" si="3"/>
        <v>80</v>
      </c>
      <c r="M18">
        <f t="shared" si="4"/>
        <v>2715.2900397563426</v>
      </c>
    </row>
    <row r="19" spans="2:13">
      <c r="B19" s="5"/>
      <c r="C19" s="5"/>
      <c r="D19" s="5"/>
      <c r="E19" s="5"/>
      <c r="F19" s="5"/>
      <c r="G19" s="5"/>
      <c r="H19" s="5">
        <f>SUM(H13:H18)/5</f>
        <v>0.78</v>
      </c>
      <c r="I19" s="15">
        <f>SUM(I13:I18)</f>
        <v>3.6456552913534637</v>
      </c>
      <c r="J19" s="15"/>
      <c r="K19" s="15"/>
      <c r="L19" s="13">
        <f>SUM(L13:L18)/5</f>
        <v>74</v>
      </c>
      <c r="M19" s="14">
        <f>SUM(M13:M18)/SUM(K13:K18)</f>
        <v>56.500364466750881</v>
      </c>
    </row>
    <row r="20" spans="2:13">
      <c r="B20" s="5"/>
      <c r="C20" s="5"/>
      <c r="D20" s="5"/>
      <c r="E20" s="5"/>
      <c r="F20" s="5"/>
      <c r="G20" s="5"/>
      <c r="H20" s="5"/>
      <c r="I20" s="5">
        <f>I19/5</f>
        <v>0.72913105827069269</v>
      </c>
      <c r="J20" s="15"/>
      <c r="K20" s="15"/>
      <c r="L20" s="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87A18-0B10-40C8-BA24-F0DC1678FA48}">
  <dimension ref="A1:I17"/>
  <sheetViews>
    <sheetView rightToLeft="1" workbookViewId="0">
      <selection activeCell="I12" sqref="I12"/>
    </sheetView>
  </sheetViews>
  <sheetFormatPr defaultRowHeight="14.4"/>
  <cols>
    <col min="1" max="1" width="12" customWidth="1"/>
    <col min="3" max="3" width="20.88671875" customWidth="1"/>
    <col min="5" max="5" width="22.44140625" customWidth="1"/>
    <col min="9" max="9" width="32.88671875" customWidth="1"/>
  </cols>
  <sheetData>
    <row r="1" spans="1:9">
      <c r="A1" s="14" t="s">
        <v>161</v>
      </c>
      <c r="B1" s="5"/>
      <c r="C1" s="5"/>
      <c r="D1" s="5"/>
      <c r="E1" s="5"/>
      <c r="F1" s="26" t="s">
        <v>163</v>
      </c>
      <c r="G1" s="5"/>
      <c r="H1" s="5"/>
    </row>
    <row r="2" spans="1:9">
      <c r="A2" s="5"/>
      <c r="B2" s="5"/>
      <c r="C2" s="5"/>
      <c r="D2" s="5"/>
      <c r="E2" s="5"/>
      <c r="G2" s="5"/>
      <c r="H2" s="5"/>
    </row>
    <row r="3" spans="1:9">
      <c r="A3" s="20" t="s">
        <v>204</v>
      </c>
      <c r="B3" s="5"/>
      <c r="C3" s="5"/>
      <c r="D3" s="5"/>
      <c r="E3" s="5"/>
      <c r="F3" s="5"/>
      <c r="G3" s="5"/>
      <c r="H3" s="5"/>
    </row>
    <row r="4" spans="1:9">
      <c r="F4" s="5"/>
      <c r="G4" s="5"/>
      <c r="H4" s="5"/>
    </row>
    <row r="5" spans="1:9">
      <c r="A5" t="s">
        <v>189</v>
      </c>
      <c r="B5" s="5"/>
      <c r="C5" s="5"/>
      <c r="D5" s="5"/>
      <c r="E5" s="5"/>
      <c r="F5" s="5"/>
      <c r="G5" s="5"/>
      <c r="H5" s="5"/>
    </row>
    <row r="6" spans="1:9" ht="43.2">
      <c r="A6" s="22" t="s">
        <v>61</v>
      </c>
      <c r="B6" s="22" t="s">
        <v>185</v>
      </c>
      <c r="C6" s="22" t="s">
        <v>60</v>
      </c>
      <c r="D6" s="22" t="s">
        <v>187</v>
      </c>
      <c r="E6" s="22" t="s">
        <v>186</v>
      </c>
      <c r="F6" s="22" t="s">
        <v>188</v>
      </c>
      <c r="G6" s="22" t="s">
        <v>190</v>
      </c>
      <c r="H6" s="22" t="s">
        <v>200</v>
      </c>
      <c r="I6" s="22" t="s">
        <v>191</v>
      </c>
    </row>
    <row r="7" spans="1:9">
      <c r="A7" s="5" t="s">
        <v>63</v>
      </c>
      <c r="B7" s="5" t="s">
        <v>193</v>
      </c>
      <c r="C7" s="5" t="s">
        <v>194</v>
      </c>
      <c r="D7" s="5">
        <v>95</v>
      </c>
      <c r="E7" s="5">
        <v>185</v>
      </c>
      <c r="F7" s="5">
        <v>1</v>
      </c>
      <c r="G7" s="5">
        <v>10</v>
      </c>
      <c r="H7">
        <f>F7*D7</f>
        <v>95</v>
      </c>
      <c r="I7">
        <f>D7*F7*G7</f>
        <v>950</v>
      </c>
    </row>
    <row r="8" spans="1:9">
      <c r="A8" t="s">
        <v>133</v>
      </c>
      <c r="B8" t="s">
        <v>193</v>
      </c>
      <c r="C8" t="s">
        <v>132</v>
      </c>
      <c r="D8">
        <v>80</v>
      </c>
      <c r="E8" t="s">
        <v>132</v>
      </c>
      <c r="F8">
        <v>0.5</v>
      </c>
      <c r="G8">
        <v>10</v>
      </c>
      <c r="H8">
        <f>F8*D8</f>
        <v>40</v>
      </c>
      <c r="I8">
        <f>D8*F8*G8</f>
        <v>400</v>
      </c>
    </row>
    <row r="9" spans="1:9">
      <c r="A9" t="s">
        <v>133</v>
      </c>
      <c r="B9" t="s">
        <v>195</v>
      </c>
      <c r="C9" t="s">
        <v>196</v>
      </c>
      <c r="D9">
        <v>50</v>
      </c>
      <c r="E9" t="s">
        <v>196</v>
      </c>
      <c r="F9">
        <v>0.8</v>
      </c>
      <c r="G9">
        <v>10</v>
      </c>
      <c r="H9">
        <f>F9*D9</f>
        <v>40</v>
      </c>
      <c r="I9">
        <f>D9*F9*G9</f>
        <v>400</v>
      </c>
    </row>
    <row r="10" spans="1:9">
      <c r="A10" t="s">
        <v>192</v>
      </c>
      <c r="B10" t="s">
        <v>193</v>
      </c>
      <c r="C10" t="s">
        <v>199</v>
      </c>
      <c r="D10">
        <v>80</v>
      </c>
      <c r="E10" t="s">
        <v>199</v>
      </c>
      <c r="F10">
        <v>0.5</v>
      </c>
      <c r="G10">
        <v>10</v>
      </c>
      <c r="H10">
        <f>F10*D10</f>
        <v>40</v>
      </c>
      <c r="I10">
        <f>D10*F10*G10</f>
        <v>400</v>
      </c>
    </row>
    <row r="11" spans="1:9">
      <c r="A11" t="s">
        <v>134</v>
      </c>
      <c r="B11" t="s">
        <v>195</v>
      </c>
      <c r="C11" t="s">
        <v>197</v>
      </c>
      <c r="D11">
        <v>30</v>
      </c>
      <c r="E11" t="s">
        <v>198</v>
      </c>
      <c r="F11">
        <v>0.6</v>
      </c>
      <c r="G11">
        <v>0</v>
      </c>
      <c r="H11">
        <f>F11*D11</f>
        <v>18</v>
      </c>
      <c r="I11">
        <f>D11*F11*G11</f>
        <v>0</v>
      </c>
    </row>
    <row r="12" spans="1:9">
      <c r="D12">
        <f>SUM(D7:D11)</f>
        <v>335</v>
      </c>
      <c r="F12">
        <f>SUM(F7:F11)</f>
        <v>3.4</v>
      </c>
      <c r="H12">
        <f>SUM(H7:H11)</f>
        <v>233</v>
      </c>
      <c r="I12" s="25">
        <f>SUM(I7:I11)/H12</f>
        <v>9.2274678111587978</v>
      </c>
    </row>
    <row r="14" spans="1:9">
      <c r="A14" s="19" t="s">
        <v>201</v>
      </c>
    </row>
    <row r="15" spans="1:9">
      <c r="A15" s="20" t="s">
        <v>203</v>
      </c>
    </row>
    <row r="17" spans="1:1">
      <c r="A17" t="s">
        <v>388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81D0-9A99-4BF0-86DD-30C10F371A76}">
  <dimension ref="A1:N33"/>
  <sheetViews>
    <sheetView rightToLeft="1" workbookViewId="0">
      <selection activeCell="G12" sqref="G12"/>
    </sheetView>
  </sheetViews>
  <sheetFormatPr defaultRowHeight="14.4"/>
  <cols>
    <col min="1" max="1" width="10.21875" customWidth="1"/>
    <col min="2" max="2" width="12.77734375" customWidth="1"/>
    <col min="3" max="3" width="15.33203125" customWidth="1"/>
    <col min="4" max="4" width="12.44140625" customWidth="1"/>
    <col min="5" max="5" width="10.5546875" customWidth="1"/>
    <col min="8" max="8" width="10.5546875" bestFit="1" customWidth="1"/>
    <col min="9" max="9" width="15.6640625" customWidth="1"/>
    <col min="10" max="10" width="25" customWidth="1"/>
    <col min="11" max="11" width="20.6640625" customWidth="1"/>
  </cols>
  <sheetData>
    <row r="1" spans="1:14">
      <c r="A1" t="s">
        <v>206</v>
      </c>
    </row>
    <row r="3" spans="1:14">
      <c r="A3" s="14" t="s">
        <v>207</v>
      </c>
      <c r="B3" s="14" t="s">
        <v>208</v>
      </c>
      <c r="C3" s="14" t="s">
        <v>209</v>
      </c>
      <c r="D3" s="14" t="s">
        <v>122</v>
      </c>
      <c r="E3" s="14" t="s">
        <v>210</v>
      </c>
      <c r="F3" s="14" t="s">
        <v>211</v>
      </c>
      <c r="G3" s="14" t="s">
        <v>84</v>
      </c>
      <c r="H3" s="14" t="s">
        <v>212</v>
      </c>
      <c r="I3" s="14" t="s">
        <v>217</v>
      </c>
      <c r="J3" s="14" t="s">
        <v>218</v>
      </c>
      <c r="K3" s="14" t="s">
        <v>232</v>
      </c>
      <c r="L3" s="14" t="s">
        <v>220</v>
      </c>
    </row>
    <row r="4" spans="1:14">
      <c r="I4" t="s">
        <v>222</v>
      </c>
      <c r="K4" t="s">
        <v>233</v>
      </c>
      <c r="L4" t="s">
        <v>221</v>
      </c>
    </row>
    <row r="5" spans="1:14">
      <c r="L5" s="19" t="s">
        <v>275</v>
      </c>
    </row>
    <row r="8" spans="1:14">
      <c r="A8" s="27" t="s">
        <v>223</v>
      </c>
    </row>
    <row r="10" spans="1:14">
      <c r="A10" t="s">
        <v>213</v>
      </c>
    </row>
    <row r="11" spans="1:14">
      <c r="A11" s="14" t="s">
        <v>207</v>
      </c>
      <c r="B11" s="14" t="s">
        <v>208</v>
      </c>
      <c r="C11" s="14" t="s">
        <v>209</v>
      </c>
      <c r="D11" s="14" t="s">
        <v>122</v>
      </c>
      <c r="E11" s="14" t="s">
        <v>210</v>
      </c>
      <c r="F11" s="14" t="s">
        <v>211</v>
      </c>
      <c r="G11" s="14" t="s">
        <v>84</v>
      </c>
      <c r="H11" s="14" t="s">
        <v>212</v>
      </c>
      <c r="I11" s="14" t="s">
        <v>217</v>
      </c>
      <c r="J11" s="14" t="s">
        <v>218</v>
      </c>
      <c r="K11" s="14" t="s">
        <v>232</v>
      </c>
      <c r="L11" s="14" t="s">
        <v>220</v>
      </c>
    </row>
    <row r="12" spans="1:14">
      <c r="A12">
        <v>4541</v>
      </c>
      <c r="B12">
        <v>221</v>
      </c>
      <c r="C12">
        <v>844</v>
      </c>
      <c r="D12">
        <v>73</v>
      </c>
      <c r="E12" t="s">
        <v>214</v>
      </c>
      <c r="F12" t="s">
        <v>215</v>
      </c>
      <c r="G12" t="s">
        <v>216</v>
      </c>
      <c r="H12" s="29">
        <v>46075</v>
      </c>
      <c r="I12">
        <v>60</v>
      </c>
      <c r="J12">
        <v>50</v>
      </c>
      <c r="K12">
        <f>(J12+I12)/2</f>
        <v>55</v>
      </c>
      <c r="L12">
        <f>0.3*K12+0.7*D12</f>
        <v>67.599999999999994</v>
      </c>
      <c r="N12" t="s">
        <v>234</v>
      </c>
    </row>
    <row r="13" spans="1:14">
      <c r="D13">
        <v>90</v>
      </c>
      <c r="K13">
        <v>55</v>
      </c>
      <c r="L13">
        <f>0.3*K13+0.7*D13</f>
        <v>79.5</v>
      </c>
    </row>
    <row r="14" spans="1:14">
      <c r="D14">
        <v>90</v>
      </c>
      <c r="K14">
        <v>20</v>
      </c>
      <c r="L14">
        <f>0.3*K14+0.7*D14</f>
        <v>69</v>
      </c>
    </row>
    <row r="15" spans="1:14">
      <c r="D15">
        <v>100</v>
      </c>
      <c r="K15">
        <v>10</v>
      </c>
      <c r="L15">
        <f>0.3*K15+0.7*D15</f>
        <v>73</v>
      </c>
    </row>
    <row r="16" spans="1:14">
      <c r="D16">
        <v>70</v>
      </c>
      <c r="K16">
        <v>70</v>
      </c>
      <c r="L16">
        <f>0.3*K16+0.7*D16</f>
        <v>70</v>
      </c>
    </row>
    <row r="33" spans="1:1">
      <c r="A33" s="14"/>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8F68-8BA3-48DC-98C9-B07384CDF822}">
  <dimension ref="A1:E25"/>
  <sheetViews>
    <sheetView rightToLeft="1" workbookViewId="0">
      <selection activeCell="E10" sqref="E10"/>
    </sheetView>
  </sheetViews>
  <sheetFormatPr defaultRowHeight="14.4"/>
  <cols>
    <col min="3" max="3" width="13.44140625" customWidth="1"/>
    <col min="4" max="4" width="42.5546875" customWidth="1"/>
    <col min="5" max="5" width="62.6640625" customWidth="1"/>
  </cols>
  <sheetData>
    <row r="1" spans="1:5">
      <c r="A1" s="14" t="s">
        <v>247</v>
      </c>
      <c r="D1" t="s">
        <v>262</v>
      </c>
    </row>
    <row r="3" spans="1:5">
      <c r="C3" t="s">
        <v>61</v>
      </c>
      <c r="D3" s="14" t="s">
        <v>248</v>
      </c>
      <c r="E3" s="14" t="s">
        <v>105</v>
      </c>
    </row>
    <row r="4" spans="1:5">
      <c r="C4" s="14" t="s">
        <v>239</v>
      </c>
    </row>
    <row r="5" spans="1:5">
      <c r="C5" t="s">
        <v>71</v>
      </c>
      <c r="D5" t="s">
        <v>249</v>
      </c>
    </row>
    <row r="6" spans="1:5">
      <c r="C6" t="s">
        <v>75</v>
      </c>
      <c r="D6" t="s">
        <v>250</v>
      </c>
    </row>
    <row r="7" spans="1:5">
      <c r="C7" t="s">
        <v>73</v>
      </c>
      <c r="D7" t="s">
        <v>251</v>
      </c>
      <c r="E7" t="s">
        <v>263</v>
      </c>
    </row>
    <row r="8" spans="1:5" ht="28.8">
      <c r="C8" t="s">
        <v>80</v>
      </c>
      <c r="D8" t="s">
        <v>252</v>
      </c>
      <c r="E8" s="5" t="s">
        <v>253</v>
      </c>
    </row>
    <row r="9" spans="1:5">
      <c r="C9" t="s">
        <v>63</v>
      </c>
      <c r="D9" t="s">
        <v>251</v>
      </c>
    </row>
    <row r="10" spans="1:5" ht="43.2">
      <c r="C10" t="s">
        <v>64</v>
      </c>
      <c r="D10" s="5" t="s">
        <v>254</v>
      </c>
      <c r="E10" s="19" t="s">
        <v>255</v>
      </c>
    </row>
    <row r="12" spans="1:5">
      <c r="C12" s="14" t="s">
        <v>240</v>
      </c>
    </row>
    <row r="13" spans="1:5">
      <c r="C13" t="s">
        <v>235</v>
      </c>
      <c r="D13" t="s">
        <v>256</v>
      </c>
      <c r="E13" s="19" t="s">
        <v>257</v>
      </c>
    </row>
    <row r="14" spans="1:5">
      <c r="C14" t="s">
        <v>236</v>
      </c>
      <c r="D14" t="s">
        <v>258</v>
      </c>
      <c r="E14" t="s">
        <v>259</v>
      </c>
    </row>
    <row r="15" spans="1:5">
      <c r="C15" t="s">
        <v>237</v>
      </c>
      <c r="D15" t="s">
        <v>258</v>
      </c>
      <c r="E15" t="s">
        <v>260</v>
      </c>
    </row>
    <row r="16" spans="1:5">
      <c r="C16" t="s">
        <v>238</v>
      </c>
      <c r="D16" t="s">
        <v>261</v>
      </c>
    </row>
    <row r="19" spans="2:2">
      <c r="B19" t="s">
        <v>241</v>
      </c>
    </row>
    <row r="21" spans="2:2">
      <c r="B21" t="s">
        <v>242</v>
      </c>
    </row>
    <row r="24" spans="2:2">
      <c r="B24" t="s">
        <v>243</v>
      </c>
    </row>
    <row r="25" spans="2:2">
      <c r="B25" t="s">
        <v>244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73849-9796-44C6-80F8-1CA54A2F64E9}">
  <dimension ref="A1:D26"/>
  <sheetViews>
    <sheetView rightToLeft="1" topLeftCell="A7" workbookViewId="0">
      <selection activeCell="A25" sqref="A25"/>
    </sheetView>
  </sheetViews>
  <sheetFormatPr defaultRowHeight="14.4"/>
  <cols>
    <col min="1" max="1" width="18" customWidth="1"/>
    <col min="2" max="2" width="26.5546875" customWidth="1"/>
    <col min="3" max="3" width="25" customWidth="1"/>
  </cols>
  <sheetData>
    <row r="1" spans="1:4">
      <c r="A1" s="14" t="s">
        <v>355</v>
      </c>
    </row>
    <row r="2" spans="1:4">
      <c r="A2" s="14" t="s">
        <v>364</v>
      </c>
      <c r="B2" s="14" t="s">
        <v>360</v>
      </c>
    </row>
    <row r="3" spans="1:4">
      <c r="A3" t="s">
        <v>356</v>
      </c>
      <c r="B3" t="s">
        <v>361</v>
      </c>
    </row>
    <row r="4" spans="1:4">
      <c r="A4" t="s">
        <v>358</v>
      </c>
    </row>
    <row r="5" spans="1:4">
      <c r="A5" t="s">
        <v>357</v>
      </c>
      <c r="B5" t="s">
        <v>362</v>
      </c>
    </row>
    <row r="6" spans="1:4">
      <c r="A6" t="s">
        <v>359</v>
      </c>
      <c r="B6" t="s">
        <v>363</v>
      </c>
    </row>
    <row r="8" spans="1:4">
      <c r="A8" s="14" t="s">
        <v>365</v>
      </c>
    </row>
    <row r="9" spans="1:4">
      <c r="A9" t="s">
        <v>80</v>
      </c>
      <c r="B9" t="s">
        <v>364</v>
      </c>
    </row>
    <row r="12" spans="1:4">
      <c r="A12" s="14" t="s">
        <v>366</v>
      </c>
    </row>
    <row r="13" spans="1:4">
      <c r="A13" s="14" t="s">
        <v>367</v>
      </c>
      <c r="B13" s="14" t="s">
        <v>382</v>
      </c>
      <c r="C13" s="14" t="s">
        <v>368</v>
      </c>
      <c r="D13" s="14" t="s">
        <v>369</v>
      </c>
    </row>
    <row r="14" spans="1:4">
      <c r="A14" t="s">
        <v>380</v>
      </c>
    </row>
    <row r="16" spans="1:4">
      <c r="A16" t="s">
        <v>381</v>
      </c>
    </row>
    <row r="17" spans="1:3">
      <c r="A17" t="s">
        <v>370</v>
      </c>
      <c r="C17" s="3"/>
    </row>
    <row r="18" spans="1:3">
      <c r="A18" t="s">
        <v>371</v>
      </c>
    </row>
    <row r="19" spans="1:3">
      <c r="A19" t="s">
        <v>372</v>
      </c>
    </row>
    <row r="20" spans="1:3">
      <c r="A20" t="s">
        <v>373</v>
      </c>
    </row>
    <row r="21" spans="1:3">
      <c r="A21" t="s">
        <v>374</v>
      </c>
    </row>
    <row r="22" spans="1:3">
      <c r="A22" t="s">
        <v>375</v>
      </c>
    </row>
    <row r="23" spans="1:3">
      <c r="A23" t="s">
        <v>376</v>
      </c>
    </row>
    <row r="24" spans="1:3">
      <c r="A24" t="s">
        <v>377</v>
      </c>
    </row>
    <row r="25" spans="1:3">
      <c r="A25" t="s">
        <v>378</v>
      </c>
    </row>
    <row r="26" spans="1:3">
      <c r="A26" t="s">
        <v>379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65AB7-D7AD-4770-A1DB-A227111CD595}">
  <dimension ref="A1:A9"/>
  <sheetViews>
    <sheetView rightToLeft="1" workbookViewId="0">
      <selection activeCell="A13" sqref="A13"/>
    </sheetView>
  </sheetViews>
  <sheetFormatPr defaultRowHeight="14.4"/>
  <sheetData>
    <row r="1" spans="1:1">
      <c r="A1" s="14" t="s">
        <v>343</v>
      </c>
    </row>
    <row r="3" spans="1:1">
      <c r="A3" s="14" t="s">
        <v>438</v>
      </c>
    </row>
    <row r="4" spans="1:1">
      <c r="A4" t="s">
        <v>344</v>
      </c>
    </row>
    <row r="5" spans="1:1">
      <c r="A5" t="s">
        <v>346</v>
      </c>
    </row>
    <row r="6" spans="1:1">
      <c r="A6" t="s">
        <v>345</v>
      </c>
    </row>
    <row r="8" spans="1:1">
      <c r="A8" s="14" t="s">
        <v>439</v>
      </c>
    </row>
    <row r="9" spans="1:1">
      <c r="A9" t="s">
        <v>440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7FA1-3DB6-4F73-94E7-2B8A7BD334E9}">
  <dimension ref="A1:B14"/>
  <sheetViews>
    <sheetView rightToLeft="1" workbookViewId="0">
      <selection activeCell="A13" sqref="A13"/>
    </sheetView>
  </sheetViews>
  <sheetFormatPr defaultRowHeight="14.4"/>
  <cols>
    <col min="1" max="1" width="37.109375" customWidth="1"/>
  </cols>
  <sheetData>
    <row r="1" spans="1:2">
      <c r="A1" s="14" t="s">
        <v>441</v>
      </c>
    </row>
    <row r="2" spans="1:2">
      <c r="A2" t="s">
        <v>442</v>
      </c>
    </row>
    <row r="3" spans="1:2">
      <c r="A3" t="s">
        <v>443</v>
      </c>
    </row>
    <row r="4" spans="1:2">
      <c r="A4" t="s">
        <v>444</v>
      </c>
    </row>
    <row r="5" spans="1:2">
      <c r="A5" t="s">
        <v>452</v>
      </c>
      <c r="B5" t="s">
        <v>453</v>
      </c>
    </row>
    <row r="8" spans="1:2">
      <c r="A8" s="14" t="s">
        <v>445</v>
      </c>
    </row>
    <row r="9" spans="1:2">
      <c r="A9" t="s">
        <v>446</v>
      </c>
    </row>
    <row r="10" spans="1:2">
      <c r="A10" t="s">
        <v>447</v>
      </c>
    </row>
    <row r="11" spans="1:2">
      <c r="A11" t="s">
        <v>448</v>
      </c>
    </row>
    <row r="12" spans="1:2">
      <c r="A12" t="s">
        <v>449</v>
      </c>
      <c r="B12" t="s">
        <v>450</v>
      </c>
    </row>
    <row r="13" spans="1:2">
      <c r="A13" t="s">
        <v>451</v>
      </c>
    </row>
    <row r="14" spans="1:2">
      <c r="A14" t="s">
        <v>56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7838B-7DDE-48A8-A573-BCAB05D487CE}">
  <dimension ref="A1:D10"/>
  <sheetViews>
    <sheetView rightToLeft="1" workbookViewId="0">
      <selection activeCell="C3" sqref="C3"/>
    </sheetView>
  </sheetViews>
  <sheetFormatPr defaultRowHeight="14.4"/>
  <cols>
    <col min="2" max="2" width="53.6640625" customWidth="1"/>
    <col min="3" max="3" width="42.109375" customWidth="1"/>
    <col min="4" max="4" width="49" customWidth="1"/>
  </cols>
  <sheetData>
    <row r="1" spans="1:4" ht="27.6" thickBot="1">
      <c r="A1" s="54" t="s">
        <v>574</v>
      </c>
      <c r="B1" s="54" t="s">
        <v>603</v>
      </c>
      <c r="C1" s="54" t="s">
        <v>604</v>
      </c>
      <c r="D1" s="54" t="s">
        <v>605</v>
      </c>
    </row>
    <row r="2" spans="1:4" ht="54" thickBot="1">
      <c r="A2" s="54" t="s">
        <v>606</v>
      </c>
      <c r="B2" s="53" t="s">
        <v>607</v>
      </c>
      <c r="C2" s="53" t="s">
        <v>608</v>
      </c>
      <c r="D2" s="53" t="s">
        <v>609</v>
      </c>
    </row>
    <row r="3" spans="1:4" ht="172.8" thickBot="1">
      <c r="A3" s="54" t="s">
        <v>610</v>
      </c>
      <c r="B3" s="53" t="s">
        <v>613</v>
      </c>
      <c r="C3" s="53" t="s">
        <v>612</v>
      </c>
      <c r="D3" s="53" t="s">
        <v>611</v>
      </c>
    </row>
    <row r="4" spans="1:4" ht="40.799999999999997" thickBot="1">
      <c r="A4" s="53" t="s">
        <v>575</v>
      </c>
      <c r="B4" s="53" t="s">
        <v>576</v>
      </c>
      <c r="C4" s="53" t="s">
        <v>577</v>
      </c>
      <c r="D4" s="53" t="s">
        <v>578</v>
      </c>
    </row>
    <row r="5" spans="1:4" ht="40.799999999999997" thickBot="1">
      <c r="A5" s="53" t="s">
        <v>579</v>
      </c>
      <c r="B5" s="53" t="s">
        <v>580</v>
      </c>
      <c r="C5" s="53" t="s">
        <v>581</v>
      </c>
      <c r="D5" s="53" t="s">
        <v>582</v>
      </c>
    </row>
    <row r="6" spans="1:4" ht="27.6" thickBot="1">
      <c r="A6" s="53" t="s">
        <v>583</v>
      </c>
      <c r="B6" s="53" t="s">
        <v>584</v>
      </c>
      <c r="C6" s="53" t="s">
        <v>585</v>
      </c>
      <c r="D6" s="53" t="s">
        <v>586</v>
      </c>
    </row>
    <row r="7" spans="1:4" ht="27.6" thickBot="1">
      <c r="A7" s="53" t="s">
        <v>587</v>
      </c>
      <c r="B7" s="53" t="s">
        <v>588</v>
      </c>
      <c r="C7" s="53" t="s">
        <v>589</v>
      </c>
      <c r="D7" s="53" t="s">
        <v>590</v>
      </c>
    </row>
    <row r="8" spans="1:4" ht="27.6" thickBot="1">
      <c r="A8" s="53" t="s">
        <v>591</v>
      </c>
      <c r="B8" s="53" t="s">
        <v>592</v>
      </c>
      <c r="C8" s="53" t="s">
        <v>593</v>
      </c>
      <c r="D8" s="53" t="s">
        <v>594</v>
      </c>
    </row>
    <row r="9" spans="1:4" ht="27.6" thickBot="1">
      <c r="A9" s="53" t="s">
        <v>595</v>
      </c>
      <c r="B9" s="53" t="s">
        <v>596</v>
      </c>
      <c r="C9" s="53" t="s">
        <v>597</v>
      </c>
      <c r="D9" s="53" t="s">
        <v>598</v>
      </c>
    </row>
    <row r="10" spans="1:4" ht="40.799999999999997" thickBot="1">
      <c r="A10" s="53" t="s">
        <v>599</v>
      </c>
      <c r="B10" s="53" t="s">
        <v>600</v>
      </c>
      <c r="C10" s="53" t="s">
        <v>601</v>
      </c>
      <c r="D10" s="53" t="s">
        <v>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UX MVP Tasks</vt:lpstr>
      <vt:lpstr>MVP Guidline</vt:lpstr>
      <vt:lpstr>MVP Tasks</vt:lpstr>
      <vt:lpstr>Users</vt:lpstr>
      <vt:lpstr>Important details</vt:lpstr>
      <vt:lpstr>Tasks Guidline</vt:lpstr>
      <vt:lpstr>Current Tasks</vt:lpstr>
      <vt:lpstr>Analyzer Tasks</vt:lpstr>
      <vt:lpstr>פירוט מודל מנתח</vt:lpstr>
      <vt:lpstr>external traits analyze</vt:lpstr>
      <vt:lpstr>פרטי משתמש</vt:lpstr>
      <vt:lpstr>Internal Traits</vt:lpstr>
      <vt:lpstr>internal traits - Old</vt:lpstr>
      <vt:lpstr>מאפיינים חיצוניים - כללי</vt:lpstr>
      <vt:lpstr>משתמש - מאפיינים</vt:lpstr>
      <vt:lpstr>בניית ציונים</vt:lpstr>
      <vt:lpstr>אלגוריתם ציון פנימי</vt:lpstr>
      <vt:lpstr>אלגוריתם ציון חיצוני</vt:lpstr>
      <vt:lpstr>אלגוריתם שידוכים</vt:lpstr>
      <vt:lpstr>טופס הזנה</vt:lpstr>
      <vt:lpstr>טבלאות דאטה</vt:lpstr>
      <vt:lpstr>שאלות עבור הAI</vt:lpstr>
      <vt:lpstr>בדיקות</vt:lpstr>
      <vt:lpstr>שאלות לפי מלווה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חן חגג זנדברג</dc:creator>
  <cp:lastModifiedBy>חן חגג זנדברג</cp:lastModifiedBy>
  <dcterms:created xsi:type="dcterms:W3CDTF">2015-06-05T18:19:34Z</dcterms:created>
  <dcterms:modified xsi:type="dcterms:W3CDTF">2026-07-05T09:55:22Z</dcterms:modified>
</cp:coreProperties>
</file>