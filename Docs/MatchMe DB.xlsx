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chenh\Dropbox\mine\עבודה\MatchMe\"/>
    </mc:Choice>
  </mc:AlternateContent>
  <xr:revisionPtr revIDLastSave="0" documentId="13_ncr:1_{E6A7FFAA-2E88-4688-917F-7D065A18558A}" xr6:coauthVersionLast="47" xr6:coauthVersionMax="47" xr10:uidLastSave="{00000000-0000-0000-0000-000000000000}"/>
  <bookViews>
    <workbookView xWindow="-108" yWindow="-108" windowWidth="23256" windowHeight="12456" activeTab="2" xr2:uid="{00000000-000D-0000-FFFF-FFFF00000000}"/>
  </bookViews>
  <sheets>
    <sheet name="פרטי משתמש" sheetId="3" r:id="rId1"/>
    <sheet name="מאפיינים - כללי" sheetId="1" r:id="rId2"/>
    <sheet name="מאפיינים חיצוניים - כללי" sheetId="5" r:id="rId3"/>
    <sheet name="משתמש - מאפיינים" sheetId="2" r:id="rId4"/>
    <sheet name="בניית ציונים" sheetId="9" r:id="rId5"/>
    <sheet name="אלגוריתם ציון פנימי" sheetId="4" r:id="rId6"/>
    <sheet name="אלגוריתם שידוכים" sheetId="7" r:id="rId7"/>
    <sheet name="אלגוריתם ציון חיצוני" sheetId="6" r:id="rId8"/>
    <sheet name="טופס הזנה" sheetId="8" r:id="rId9"/>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2" i="9" l="1"/>
  <c r="E12" i="9"/>
  <c r="D12" i="9"/>
  <c r="G12" i="9" s="1"/>
  <c r="F11" i="9"/>
  <c r="E11" i="9"/>
  <c r="D11" i="9"/>
  <c r="G11" i="9" s="1"/>
  <c r="F10" i="9"/>
  <c r="E10" i="9"/>
  <c r="G10" i="9" s="1"/>
  <c r="D10" i="9"/>
  <c r="F9" i="9"/>
  <c r="E9" i="9"/>
  <c r="D9" i="9"/>
  <c r="G9" i="9" s="1"/>
  <c r="F8" i="9"/>
  <c r="E8" i="9"/>
  <c r="D8" i="9"/>
  <c r="G8" i="9" s="1"/>
  <c r="F7" i="9"/>
  <c r="E7" i="9"/>
  <c r="G7" i="9" s="1"/>
  <c r="D7" i="9"/>
  <c r="F6" i="9"/>
  <c r="E6" i="9"/>
  <c r="D6" i="9"/>
  <c r="G6" i="9" s="1"/>
  <c r="F5" i="9"/>
  <c r="E5" i="9"/>
  <c r="D5" i="9"/>
  <c r="G5" i="9" s="1"/>
  <c r="F4" i="9"/>
  <c r="E4" i="9"/>
  <c r="G4" i="9" s="1"/>
  <c r="D4" i="9"/>
  <c r="L16" i="7"/>
  <c r="L15" i="7"/>
  <c r="L14" i="7"/>
  <c r="L13" i="7"/>
  <c r="K12" i="7"/>
  <c r="L12" i="7" s="1"/>
  <c r="I7" i="6"/>
  <c r="I14" i="6"/>
  <c r="I8" i="6"/>
  <c r="I9" i="6"/>
  <c r="I10" i="6"/>
  <c r="I11" i="6"/>
  <c r="I12" i="6"/>
  <c r="I13" i="6"/>
  <c r="D14" i="6"/>
  <c r="F14" i="6"/>
  <c r="H8" i="6"/>
  <c r="H9" i="6"/>
  <c r="H10" i="6"/>
  <c r="H11" i="6"/>
  <c r="H12" i="6"/>
  <c r="H14" i="6" s="1"/>
  <c r="H13" i="6"/>
  <c r="H7" i="6"/>
  <c r="J5" i="4"/>
  <c r="J20" i="4"/>
  <c r="J19" i="4"/>
  <c r="J18" i="4"/>
  <c r="J17" i="4"/>
  <c r="J16" i="4"/>
  <c r="J15" i="4"/>
  <c r="J6" i="4"/>
  <c r="J7" i="4"/>
  <c r="J8" i="4"/>
  <c r="J9" i="4"/>
  <c r="L20" i="4"/>
  <c r="L19" i="4"/>
  <c r="L18" i="4"/>
  <c r="L17" i="4"/>
  <c r="L16" i="4"/>
  <c r="L15" i="4"/>
  <c r="L6" i="4"/>
  <c r="L7" i="4"/>
  <c r="L8" i="4"/>
  <c r="L9" i="4"/>
  <c r="L5" i="4"/>
  <c r="I18" i="4"/>
  <c r="K18" i="4" s="1"/>
  <c r="H21" i="4"/>
  <c r="I20" i="4"/>
  <c r="I19" i="4"/>
  <c r="I17" i="4"/>
  <c r="I16" i="4"/>
  <c r="I15" i="4"/>
  <c r="I9" i="4"/>
  <c r="I8" i="4"/>
  <c r="I7" i="4"/>
  <c r="I6" i="4"/>
  <c r="I5" i="4"/>
  <c r="K19" i="4" l="1"/>
  <c r="K16" i="4"/>
  <c r="M16" i="4" s="1"/>
  <c r="K17" i="4"/>
  <c r="M17" i="4" s="1"/>
  <c r="M18" i="4"/>
  <c r="M19" i="4"/>
  <c r="K5" i="4"/>
  <c r="M5" i="4" s="1"/>
  <c r="K9" i="4"/>
  <c r="M9" i="4" s="1"/>
  <c r="K8" i="4"/>
  <c r="M8" i="4" s="1"/>
  <c r="K7" i="4"/>
  <c r="M7" i="4" s="1"/>
  <c r="K6" i="4"/>
  <c r="M6" i="4" s="1"/>
  <c r="K15" i="4"/>
  <c r="M15" i="4" s="1"/>
  <c r="K20" i="4"/>
  <c r="M20" i="4" s="1"/>
  <c r="L10" i="4"/>
  <c r="I10" i="4"/>
  <c r="I11" i="4" s="1"/>
  <c r="I21" i="4"/>
  <c r="I22" i="4" s="1"/>
  <c r="M10" i="4" l="1"/>
  <c r="L21" i="4"/>
  <c r="M21" i="4"/>
</calcChain>
</file>

<file path=xl/sharedStrings.xml><?xml version="1.0" encoding="utf-8"?>
<sst xmlns="http://schemas.openxmlformats.org/spreadsheetml/2006/main" count="668" uniqueCount="409">
  <si>
    <t>סוג חישוב</t>
  </si>
  <si>
    <t>טווח סינון</t>
  </si>
  <si>
    <t>סוג מידע</t>
  </si>
  <si>
    <t>ודאות נדרשת</t>
  </si>
  <si>
    <t>משקל</t>
  </si>
  <si>
    <r>
      <t>הסבר עבור ה</t>
    </r>
    <r>
      <rPr>
        <b/>
        <sz val="11"/>
        <color theme="1"/>
        <rFont val="Aptos"/>
        <family val="2"/>
      </rPr>
      <t>AI</t>
    </r>
  </si>
  <si>
    <t xml:space="preserve">שם פנימי </t>
  </si>
  <si>
    <t>תכונה</t>
  </si>
  <si>
    <t>רגיל</t>
  </si>
  <si>
    <t>רגיש</t>
  </si>
  <si>
    <t>cognitive_profile</t>
  </si>
  <si>
    <t>פרופיל קוגניטיבי</t>
  </si>
  <si>
    <t>Vibe</t>
  </si>
  <si>
    <t>סחיות</t>
  </si>
  <si>
    <t>יציבות רגשית כללית</t>
  </si>
  <si>
    <t>emotional_stability</t>
  </si>
  <si>
    <t>יציבות רגשית</t>
  </si>
  <si>
    <t>נטייה לחרדה/דרמטיות</t>
  </si>
  <si>
    <t>Neuroticism</t>
  </si>
  <si>
    <t>נוירוטיות</t>
  </si>
  <si>
    <t>?</t>
  </si>
  <si>
    <t>פלט בטוח</t>
  </si>
  <si>
    <t>חשיבות המשפחה בחיים</t>
  </si>
  <si>
    <t>family_orientation</t>
  </si>
  <si>
    <t>משפחתיות</t>
  </si>
  <si>
    <t>אהבה ליציאות, מסיבות, בילויים</t>
  </si>
  <si>
    <t>party_orientation</t>
  </si>
  <si>
    <t>נהנתנות בליינית</t>
  </si>
  <si>
    <t>אהבה ליוקרה ונוחות</t>
  </si>
  <si>
    <t>luxury_orientation</t>
  </si>
  <si>
    <t>נהנתנות יוקרתית</t>
  </si>
  <si>
    <t>מופנמות/מוחצנות</t>
  </si>
  <si>
    <t>רמת אנרגיה כללית</t>
  </si>
  <si>
    <t>energy_level</t>
  </si>
  <si>
    <t>אנרגטיות</t>
  </si>
  <si>
    <t>נטייה אנליטית</t>
  </si>
  <si>
    <t>analytical_tendency</t>
  </si>
  <si>
    <t>אנליטיות</t>
  </si>
  <si>
    <t>רצינות כלפי החיים</t>
  </si>
  <si>
    <t>Seriousness</t>
  </si>
  <si>
    <t>רצינות</t>
  </si>
  <si>
    <t>שטותניקיות בקטע גופי</t>
  </si>
  <si>
    <t>goophiness</t>
  </si>
  <si>
    <t>שטותניקיות</t>
  </si>
  <si>
    <t>רמת דתיות</t>
  </si>
  <si>
    <t>Religiosity</t>
  </si>
  <si>
    <t>דתיות/חילוניות</t>
  </si>
  <si>
    <t>מודעות עצמית</t>
  </si>
  <si>
    <t>self_awareness</t>
  </si>
  <si>
    <t xml:space="preserve">הומור וקלילות.   </t>
  </si>
  <si>
    <t>Humor</t>
  </si>
  <si>
    <t>הומור</t>
  </si>
  <si>
    <t>מעורבות פוליטית</t>
  </si>
  <si>
    <t>political_orientation</t>
  </si>
  <si>
    <t>פוליטיות</t>
  </si>
  <si>
    <t>מעורבות חברתית</t>
  </si>
  <si>
    <t>social_involvement</t>
  </si>
  <si>
    <t>גישה חיובית</t>
  </si>
  <si>
    <t>Positivity</t>
  </si>
  <si>
    <t>חיוביות</t>
  </si>
  <si>
    <t>לבביות וחום אנושי</t>
  </si>
  <si>
    <t>Warmth</t>
  </si>
  <si>
    <t>לבביות</t>
  </si>
  <si>
    <t>openness</t>
  </si>
  <si>
    <t>פתיחות</t>
  </si>
  <si>
    <t xml:space="preserve">מידת ילדותיות לעומת בגרות </t>
  </si>
  <si>
    <t>Childishness</t>
  </si>
  <si>
    <t>ילדותיות</t>
  </si>
  <si>
    <t>קשיחות ערכית / שמרנות</t>
  </si>
  <si>
    <t>value_rigidity</t>
  </si>
  <si>
    <t>שמרנות ערכית</t>
  </si>
  <si>
    <t>אהבה לבעלי חיים</t>
  </si>
  <si>
    <t>loves_animals</t>
  </si>
  <si>
    <t>שימוש פנימי</t>
  </si>
  <si>
    <t>רגישות למראה חיצוני</t>
  </si>
  <si>
    <t>appearance_sensitivity</t>
  </si>
  <si>
    <t>רגישות למראה</t>
  </si>
  <si>
    <t>pickiness_score</t>
  </si>
  <si>
    <t>פיקיות</t>
  </si>
  <si>
    <t>שיעור אישור</t>
  </si>
  <si>
    <t>רמת בוטות</t>
  </si>
  <si>
    <t>bluntness_score</t>
  </si>
  <si>
    <t>בוטות</t>
  </si>
  <si>
    <t>toxicity_score</t>
  </si>
  <si>
    <t>רעילות</t>
  </si>
  <si>
    <t>רגישות</t>
  </si>
  <si>
    <r>
      <t xml:space="preserve">טבלת מאפיינים </t>
    </r>
    <r>
      <rPr>
        <b/>
        <sz val="11"/>
        <color theme="1"/>
        <rFont val="Aptos"/>
        <family val="2"/>
      </rPr>
      <t xml:space="preserve"> (Trait Definitions)</t>
    </r>
  </si>
  <si>
    <t>הסבר</t>
  </si>
  <si>
    <t>ערך רצוי</t>
  </si>
  <si>
    <t>מאפיין</t>
  </si>
  <si>
    <t>user_id</t>
  </si>
  <si>
    <t>גובה</t>
  </si>
  <si>
    <t>סגנון מראה</t>
  </si>
  <si>
    <t>שם בעברית</t>
  </si>
  <si>
    <t>שם פנימי באנגלית</t>
  </si>
  <si>
    <t>מאפיין מערכת</t>
  </si>
  <si>
    <t>מזהה משתמש ייחודי</t>
  </si>
  <si>
    <t>מזהה משתמש</t>
  </si>
  <si>
    <t>שם פרטי</t>
  </si>
  <si>
    <t>שם</t>
  </si>
  <si>
    <t>first_name</t>
  </si>
  <si>
    <t>גיל</t>
  </si>
  <si>
    <t>Age</t>
  </si>
  <si>
    <t>מגדר</t>
  </si>
  <si>
    <t>Gender</t>
  </si>
  <si>
    <t>מה מחפש</t>
  </si>
  <si>
    <t>מחפש מגדר</t>
  </si>
  <si>
    <t>looking_for_gender</t>
  </si>
  <si>
    <t>עיר</t>
  </si>
  <si>
    <t>City</t>
  </si>
  <si>
    <t>Height</t>
  </si>
  <si>
    <t>סגנון עצמי</t>
  </si>
  <si>
    <t>סגנון</t>
  </si>
  <si>
    <t>self_style</t>
  </si>
  <si>
    <t>סטטוס משתמש</t>
  </si>
  <si>
    <t>סטטוס</t>
  </si>
  <si>
    <t>user_status</t>
  </si>
  <si>
    <t xml:space="preserve">האם אמיתי או משתמש בדיקות </t>
  </si>
  <si>
    <t>משתמש אמיתי</t>
  </si>
  <si>
    <t>is_real_user</t>
  </si>
  <si>
    <t>מוכן לשידוך</t>
  </si>
  <si>
    <t>is_matchable</t>
  </si>
  <si>
    <t>עדיפות</t>
  </si>
  <si>
    <t>first_priority_score</t>
  </si>
  <si>
    <t>סטטוס מנוי</t>
  </si>
  <si>
    <t>מנוי</t>
  </si>
  <si>
    <t>subscription_status</t>
  </si>
  <si>
    <t>זמן יצירה</t>
  </si>
  <si>
    <t>נוצר בתאריך</t>
  </si>
  <si>
    <t>created_at</t>
  </si>
  <si>
    <t>טבלת מאפיינים</t>
  </si>
  <si>
    <t>טבלת מאפיינים רצויים</t>
  </si>
  <si>
    <t>קישור לטבלה</t>
  </si>
  <si>
    <r>
      <t xml:space="preserve">טבלת פרטי משתמש </t>
    </r>
    <r>
      <rPr>
        <b/>
        <sz val="11"/>
        <color theme="1"/>
        <rFont val="Aptos"/>
        <family val="2"/>
      </rPr>
      <t xml:space="preserve"> (UsersDetails)</t>
    </r>
  </si>
  <si>
    <t>אפשרות: גבר/אישה/לא מוגדר</t>
  </si>
  <si>
    <t>אפשרות: גבר/אישה/גם וגם/לא משנה</t>
  </si>
  <si>
    <t>הערות</t>
  </si>
  <si>
    <t>מדינה</t>
  </si>
  <si>
    <t>State</t>
  </si>
  <si>
    <t>מידע מגיע מ</t>
  </si>
  <si>
    <t>טופס הרשמה</t>
  </si>
  <si>
    <t xml:space="preserve">קבוע </t>
  </si>
  <si>
    <t>להשלים אפשרויות</t>
  </si>
  <si>
    <t>בחירה מרובה: להשלים</t>
  </si>
  <si>
    <t>אלגוריתם</t>
  </si>
  <si>
    <t>attr_table</t>
  </si>
  <si>
    <t>pref_table</t>
  </si>
  <si>
    <t>האם טרול?</t>
  </si>
  <si>
    <t>trollness</t>
  </si>
  <si>
    <t>בעייתיות</t>
  </si>
  <si>
    <t>אלגוריתם באמצעות הAI</t>
  </si>
  <si>
    <t>ValidPerson</t>
  </si>
  <si>
    <t>מידע משמש ל</t>
  </si>
  <si>
    <t>סינון ראשוני</t>
  </si>
  <si>
    <t>סינון ראשוני + סינון עדיפויות משתמש צד שני</t>
  </si>
  <si>
    <t>ציון התאמה</t>
  </si>
  <si>
    <t>אלגוריתם שידוך</t>
  </si>
  <si>
    <t>סינון ראשוני + ציון התאמה</t>
  </si>
  <si>
    <t>מערכת</t>
  </si>
  <si>
    <t>משתמש 1</t>
  </si>
  <si>
    <t>ציון</t>
  </si>
  <si>
    <t>משתמש 2</t>
  </si>
  <si>
    <t>אינטלגנציה</t>
  </si>
  <si>
    <t>ודאות כללית</t>
  </si>
  <si>
    <t xml:space="preserve">מידת התאמה </t>
  </si>
  <si>
    <t>שחום</t>
  </si>
  <si>
    <t>צבע עור</t>
  </si>
  <si>
    <t>צבע שיער</t>
  </si>
  <si>
    <t>צבע עיניים</t>
  </si>
  <si>
    <t>מבנה גוף</t>
  </si>
  <si>
    <t>ציון משוקלל</t>
  </si>
  <si>
    <t>ודאות * משקל</t>
  </si>
  <si>
    <t>טבלת מאפיינים למשתמש ספציפי</t>
  </si>
  <si>
    <t>משקל (לגבי הצד השני)</t>
  </si>
  <si>
    <t>ודאות למידת החשיבות</t>
  </si>
  <si>
    <t>משקל U1</t>
  </si>
  <si>
    <t>ציון U1</t>
  </si>
  <si>
    <t>ודאות U1</t>
  </si>
  <si>
    <t>משקל U2</t>
  </si>
  <si>
    <t>ציון U2</t>
  </si>
  <si>
    <t>ודאות U2</t>
  </si>
  <si>
    <t>ממוצע משקלים</t>
  </si>
  <si>
    <t>סך משקל לגבי הצד השני</t>
  </si>
  <si>
    <t>מאפיינים חיצוניים</t>
  </si>
  <si>
    <t>ערכים אפשריים</t>
  </si>
  <si>
    <t>מקור מידע</t>
  </si>
  <si>
    <t>טופס</t>
  </si>
  <si>
    <t>AI</t>
  </si>
  <si>
    <t>גבר &gt; אישה</t>
  </si>
  <si>
    <t>מסנן רק עבור סטרייטים. במידה וחשוב למשתמש - חישוב מיוחד. להשלים.</t>
  </si>
  <si>
    <t>חישוב ציון מאפיינים פנימיים  (אחרי מסננים)</t>
  </si>
  <si>
    <t>טווח סינון דיפולטי</t>
  </si>
  <si>
    <t>טווח סינון אישי אם חשוב</t>
  </si>
  <si>
    <t>מעל המשתמש או עד -10</t>
  </si>
  <si>
    <t>עד 20 למטה או מעל</t>
  </si>
  <si>
    <t>עד 15 למטה או מעל</t>
  </si>
  <si>
    <t>חישוב ציון חיצוני</t>
  </si>
  <si>
    <t>80 אחוז מהציון הסופי</t>
  </si>
  <si>
    <t>20 אחוז מהציון הסופי (כיוון שבכל מקרה התמונות יאושרו)</t>
  </si>
  <si>
    <t>להחליט לגבי זה</t>
  </si>
  <si>
    <t xml:space="preserve">משקל*ודאות למידת חשיבות + המשקל שהוגדר במערכת </t>
  </si>
  <si>
    <t>ערך אישי</t>
  </si>
  <si>
    <t>ודאות לציון</t>
  </si>
  <si>
    <t>ודאות לערך אישי</t>
  </si>
  <si>
    <t xml:space="preserve">ודאות למידת החשיבות </t>
  </si>
  <si>
    <t>ודאות לערך הרצוי</t>
  </si>
  <si>
    <t>פנימיים - UserPersonalAttr</t>
  </si>
  <si>
    <t>חיצוניים - UserLookAttr</t>
  </si>
  <si>
    <t>ציון הai למשתמש</t>
  </si>
  <si>
    <t>כמה זה חשוב למשתמש</t>
  </si>
  <si>
    <t>כמה אנחנו בטוחים שזה חשוב למשתמש</t>
  </si>
  <si>
    <t>הערך של המשתמש</t>
  </si>
  <si>
    <t>כמה אנחנו בטוחים שזה הערך?</t>
  </si>
  <si>
    <t xml:space="preserve">מה המשתמש מחפש </t>
  </si>
  <si>
    <t>כמה זה חשוב לו?</t>
  </si>
  <si>
    <t>כמה אנחנו בטוחים שזה מה שהמשתמש רוצה</t>
  </si>
  <si>
    <t>כמה אנחנו בטוחים בכמה זה חשוב לו</t>
  </si>
  <si>
    <t xml:space="preserve">משקל*ודאות למידת חשיבות*ודאות לערך הרצוי </t>
  </si>
  <si>
    <t>כמה אנחנו בטוחים בציון?</t>
  </si>
  <si>
    <t>בשתי הטבלאות: אם סך משקל צד שני = מעל 80 - הופך לערך מסנן (במידה והוגדר כאפשרי)</t>
  </si>
  <si>
    <t>משתמש מבקש</t>
  </si>
  <si>
    <t>ערך צד שני</t>
  </si>
  <si>
    <t>סך משקל ערך רצוי</t>
  </si>
  <si>
    <t>ודאות ערך צד שני</t>
  </si>
  <si>
    <t>הערה: סך משקל ערך רצוי כולל בתוכו את החשיבות למשתמש וגם את הודאות</t>
  </si>
  <si>
    <t>תוצאה (תואם/לא תואם)</t>
  </si>
  <si>
    <r>
      <t xml:space="preserve">ציון </t>
    </r>
    <r>
      <rPr>
        <sz val="11"/>
        <color theme="1"/>
        <rFont val="Calibri"/>
        <family val="2"/>
        <scheme val="minor"/>
      </rPr>
      <t xml:space="preserve">
משקל ערך רצוי * תוצאה * ודאות ערך צד שני</t>
    </r>
  </si>
  <si>
    <t xml:space="preserve">שיער </t>
  </si>
  <si>
    <t>U1</t>
  </si>
  <si>
    <t>מעל 180</t>
  </si>
  <si>
    <t>ספורטיבי / טבעי</t>
  </si>
  <si>
    <t>ספורטיבי, שרירי</t>
  </si>
  <si>
    <t>U2</t>
  </si>
  <si>
    <t>מטופחת, קלילה</t>
  </si>
  <si>
    <t>בהירה</t>
  </si>
  <si>
    <t>בלונד</t>
  </si>
  <si>
    <t>חום</t>
  </si>
  <si>
    <t>לא קירח</t>
  </si>
  <si>
    <t>ודאות*משקל</t>
  </si>
  <si>
    <t>מטופחת, ספורטיבי</t>
  </si>
  <si>
    <t>החישוב היה צריך לצאת יותר גבוה לדעתי... לראות איך מתקננים את זה</t>
  </si>
  <si>
    <t>טווס סינון אישי אם חשוב</t>
  </si>
  <si>
    <t>גם צריך לראות איך לדייק את ציון התוצאה.. נגיד 179 לא יקבל אותו ציון כמו 160. אולי זה מספיק לשלב הזה, אבל לחשוב על זה.</t>
  </si>
  <si>
    <t>אולי צריך להתחשב גם באם נבחר בול הטעם או אפשרי גם בציון. כי אם זה אפשרי + ציון חיצוני נמוך אנחנו אולי בבעיה, וגם אולי ברגישות למראה</t>
  </si>
  <si>
    <t>נכניס פה כל מה שהAI צריך למלא. חלק מהמאפיינים יועתקו לטבלאות פנימיות ויהיו לשימוש פנימי בלבד</t>
  </si>
  <si>
    <t>טבלת התאמות - Matches</t>
  </si>
  <si>
    <t>match ID</t>
  </si>
  <si>
    <t>U1 ID</t>
  </si>
  <si>
    <t>U2 ID</t>
  </si>
  <si>
    <t>דירוג U1</t>
  </si>
  <si>
    <t>דירוג U2</t>
  </si>
  <si>
    <t>עודכן בתאריך</t>
  </si>
  <si>
    <t>דוגמה</t>
  </si>
  <si>
    <t>בול הטעם</t>
  </si>
  <si>
    <t>אפשרי</t>
  </si>
  <si>
    <t xml:space="preserve">אושר </t>
  </si>
  <si>
    <t>עדיפות מערכת U1</t>
  </si>
  <si>
    <t>עדיפות מערכת U2</t>
  </si>
  <si>
    <t>יכול להיות שצריך להרחיב עבור משתמשים עם ערך נמוך יותר את הדיפולטי.
או להגדיר שזה מסנן רק למעלה מערך מסוים</t>
  </si>
  <si>
    <t>עדיפות התאמה</t>
  </si>
  <si>
    <t>שילוב של הציון ועדיפויות המערכת לשידוך המשתמשים</t>
  </si>
  <si>
    <t>מורכב מזמן התאמה וכמות התאמות טובות אחרות</t>
  </si>
  <si>
    <t>סטטוסים אפשריים: ממתין לדירוג ראשון, ממתין לדירוג שני, אושר על ידי המשתמשים, אושר וממתין להתאמות אחרות, נדחה (אולי להפריד בין נדחה על ידי דירוג לנדחה מסיבות אישיות),  בהתאמה, בוטל (אולי גם: מוקפא, פג תוקף ?)</t>
  </si>
  <si>
    <t>בניית ציון עדיפות מערכת</t>
  </si>
  <si>
    <t>ימי המתנה</t>
  </si>
  <si>
    <t>מספר התאמות כללי</t>
  </si>
  <si>
    <t>מספר התאמות טובות (מעל ציון 70 נגיד)</t>
  </si>
  <si>
    <t>ציון ימי המתנה</t>
  </si>
  <si>
    <t>ציון כולל</t>
  </si>
  <si>
    <t>ציון התאמות טובות</t>
  </si>
  <si>
    <t>ציון התאמות כללי</t>
  </si>
  <si>
    <t>pair_priority</t>
  </si>
  <si>
    <t>שילוב עדיפות המשתמשים</t>
  </si>
  <si>
    <t>מה עם הדירוגים?</t>
  </si>
  <si>
    <t>מגדר רצוי</t>
  </si>
  <si>
    <t>טווח גילאים רצוי</t>
  </si>
  <si>
    <t>טווח גובה רצוי</t>
  </si>
  <si>
    <t>טווח מיקום רצוי</t>
  </si>
  <si>
    <t>קצת עליי</t>
  </si>
  <si>
    <t>מחפש</t>
  </si>
  <si>
    <t>משתמש שממתין זמן רב (או עם עדיפות מערכת גבוהה במיוחד) יקבל הודעה בסגנון של “ראינו שאפשר לפתוח לך עוד התאמות מעניינות אם נרחיב קצת את הטווחים שלך” ואז קישור להרחבת המסננים. שבכל מקרה יהיה פתוח תמיד למשתמשים</t>
  </si>
  <si>
    <t xml:space="preserve">אולי כן עדיף רק לפי זמן ולא לפי עדיפות מערכת, כי אנחנו רוצים לעודד משתמשים לפתוח טווחים. וכשעדיפות המערכת שלהם עולה הם יקבלו עדיפות בשידוך. נרצה להוריד להם את עדיפות המערכת על ידי מסננים גמישים יותר. </t>
  </si>
  <si>
    <t>בהמשך אפשר אולי ממש להריץ על המשתמשים האלה בדיקות טווח ואז לשלוח להם הודעות יותר ספציפיות כמו: “יש 4 אנשים שיכולים להתאים לך, שנמצאים עד 10 דקות מעבר למה שהגדרת”</t>
  </si>
  <si>
    <t>או להקפיץ להם אותם כשאלות דיל ברייקרס</t>
  </si>
  <si>
    <t xml:space="preserve">טווח סינון </t>
  </si>
  <si>
    <t>לפי הגדרת המשתמש</t>
  </si>
  <si>
    <t>טופס הזנה - בהרשמה</t>
  </si>
  <si>
    <t>אפשרויות</t>
  </si>
  <si>
    <t>טקסט חופשי</t>
  </si>
  <si>
    <t>גבר/אישה/לא מוגדר</t>
  </si>
  <si>
    <t>מספר</t>
  </si>
  <si>
    <t>בחירה מרשימת יישובים באוטוקומפליט</t>
  </si>
  <si>
    <r>
      <rPr>
        <b/>
        <i/>
        <sz val="11"/>
        <color theme="1"/>
        <rFont val="Calibri"/>
        <family val="2"/>
        <scheme val="minor"/>
      </rPr>
      <t xml:space="preserve">מה אם לא מופיע..?  אולי אפשר לתת גם להזין אזור. ואז לא חובה עיר. </t>
    </r>
    <r>
      <rPr>
        <sz val="11"/>
        <color theme="1"/>
        <rFont val="Calibri"/>
        <family val="2"/>
        <scheme val="minor"/>
      </rPr>
      <t xml:space="preserve">
לכל עיר נגדיר אזור כדי לעשות סינונים מתאימים.</t>
    </r>
  </si>
  <si>
    <r>
      <t>אפשרויות בבחירה מרובה:
עבור אישה: מטופחת, ספורטיבית, וכו'.</t>
    </r>
    <r>
      <rPr>
        <b/>
        <i/>
        <sz val="11"/>
        <color theme="1"/>
        <rFont val="Calibri"/>
        <family val="2"/>
        <scheme val="minor"/>
      </rPr>
      <t xml:space="preserve">
</t>
    </r>
    <r>
      <rPr>
        <sz val="11"/>
        <color theme="1"/>
        <rFont val="Calibri"/>
        <family val="2"/>
        <scheme val="minor"/>
      </rPr>
      <t xml:space="preserve">עבור גבר: שרירי, אתלטי, טבעי וכו'. </t>
    </r>
  </si>
  <si>
    <t>להשלים</t>
  </si>
  <si>
    <t>גבר / אישה / גם וגם / לא משנה לי</t>
  </si>
  <si>
    <t xml:space="preserve">להשלים התייחסות למצב של לא משנה לי. </t>
  </si>
  <si>
    <t xml:space="preserve">מ-מספר עד מספר.   </t>
  </si>
  <si>
    <t>אולי להוסיף פרמטר של "עד כמה אתה גמיש"?  לא גמיש/אפשר להרחיב קצת/גמיש מאוד</t>
  </si>
  <si>
    <t>כנ"ל</t>
  </si>
  <si>
    <t>אפשרות: לא יוצא מהעיר שלי/מוכן לנסוע קצת באזור שלי/מוכן לנסוע קצת יותר/כל הארץ</t>
  </si>
  <si>
    <t xml:space="preserve">הטופס יהיה פתוח לשינויים במידת הצורך. </t>
  </si>
  <si>
    <t>או עדיף תאריך לידה? כדי שנוכל לעדכן אוטומטית.</t>
  </si>
  <si>
    <t>בהתאם לבחירת המשתמש: 
לא יוצא מהעיר = אותה עיר
באזור שלי = סינון לפי אזור זהה.
מוכן לנסוע קצת יותר - נסנן לפי אזורים קרובים - נגדיר לכל אזור מראש איזה אזורים קרובים אליו.
כל הארץ - לא נסנן.</t>
  </si>
  <si>
    <t>אלגוריתם התאמות - סינון משתמשים להרצה ראשונית</t>
  </si>
  <si>
    <t>אלגוריתם התאמות - בחירת מדרג ראשון</t>
  </si>
  <si>
    <t>לפרט אפשרויות</t>
  </si>
  <si>
    <t>בהתאם לאפשרויות בטופס.</t>
  </si>
  <si>
    <t>דיל ברייקרס אפשריים</t>
  </si>
  <si>
    <t>DealBrakers</t>
  </si>
  <si>
    <t>זהויות מיניות שונות</t>
  </si>
  <si>
    <t>SexuallIdentity</t>
  </si>
  <si>
    <t>טרנס/אמיני - לחשוב מה עוד נכנס פה</t>
  </si>
  <si>
    <t>מסנן</t>
  </si>
  <si>
    <t xml:space="preserve">שימוש פנימי - דיל ברייקרס לבדיקה. </t>
  </si>
  <si>
    <t>אפשרויות: בהתאמה, בהקפאה, ממתין לתשלום, ממתין להתאמה</t>
  </si>
  <si>
    <t>האפשרויות פה לא סגורות. אפשר להיסגר על זה בסוף</t>
  </si>
  <si>
    <t xml:space="preserve">לשלב גם את מוכנות לשידוך של המשתמשים </t>
  </si>
  <si>
    <t>ימי המתנה להתאמה</t>
  </si>
  <si>
    <t>מספר התאמות נוכחי</t>
  </si>
  <si>
    <t>מספר התאמות טובות נוכחי</t>
  </si>
  <si>
    <t>מספר שידוכים שקיבל</t>
  </si>
  <si>
    <t>לפי הגדרת המשתמש +- 1 / 3 / 5.
בהתאם לבחירת המשתמש על לא גמיש/אפשר להרחיב קצת/גמיש</t>
  </si>
  <si>
    <t xml:space="preserve">לפי הגדרת המשתמש. </t>
  </si>
  <si>
    <t>לפי הגדרת המשתמש +- 2 / 5 / 10.
בהתאם לבחירת המשתמש על לא גמיש/אפשר להרחיב קצת/גמיש</t>
  </si>
  <si>
    <t>עד כמה היוזר מוכן לשידוך על ידי המערכת. 
נחשב לכל תכונה אחוז ודאות מתוך הודאות הנדרשת (נגיד 0.8 ודאות נדרשת ויש לנו רק 0.6 = 0.75) נסכום את סך הציונים ונחלק בסך הודאויות. 
readiness_score =
sum(w_i * readiness_i) / sum(w_i).
פחות מ100 - נמשיך את השיחה עם המשתמש. אבל כבר ב90 אפשר להתחיל לשדך.</t>
  </si>
  <si>
    <t>עדיפות בתור. לוגיקה מפורטת בטאב אלגוריתם השידוך</t>
  </si>
  <si>
    <r>
      <t xml:space="preserve"> </t>
    </r>
    <r>
      <rPr>
        <b/>
        <i/>
        <sz val="11"/>
        <color theme="1"/>
        <rFont val="Calibri"/>
        <family val="2"/>
        <scheme val="minor"/>
      </rPr>
      <t>להשלים</t>
    </r>
  </si>
  <si>
    <t>האם המשתמש רעיל / אלים / טרול ומועמד להקפאה.
במידה והAI יתן ציון גבוה נשים פה TRUE + פירוט כלשהו ונקפיא משתמש.</t>
  </si>
  <si>
    <t>בהתאם לאפשרויות בטופס.
אחרי MVP - להשלים איך המערכת מתייחסת ללא משנה ואיך מתייחסים לטרנסים, אמיניים וזהויות שונות.</t>
  </si>
  <si>
    <t xml:space="preserve">בהתחלה רק ישראל.. אין צורך להזין. אחרי MVP - נרחיב לישראלים בNY. </t>
  </si>
  <si>
    <t>מידת טיפוח</t>
  </si>
  <si>
    <t>שרירי, רזה, חטוב, צ'אבי, שמן.</t>
  </si>
  <si>
    <t>כהה עור, שחום, שזוף, בהיר.</t>
  </si>
  <si>
    <t>כהה / בהיר</t>
  </si>
  <si>
    <t>בלונד, כהה , חום בהיר, ג'ינג'י</t>
  </si>
  <si>
    <t>גבוהה מאוד, גבוהה, בינונית, נמוכה (מראה טבעי)</t>
  </si>
  <si>
    <t>LookStyle</t>
  </si>
  <si>
    <t>BodyType</t>
  </si>
  <si>
    <t>SkinColor</t>
  </si>
  <si>
    <t>HairColor</t>
  </si>
  <si>
    <t>EyeColor</t>
  </si>
  <si>
    <t>סוג שיער</t>
  </si>
  <si>
    <t>קירח, מתולתל,חלק, קצר, ארוך</t>
  </si>
  <si>
    <t>HairType</t>
  </si>
  <si>
    <t>יכול גם לסנן אם קריטי למשתמש במידת ודאות רבה (אולי רק עבור רזה/חטוב)</t>
  </si>
  <si>
    <t>טופס + AI לגבי מה הוא רוצה.</t>
  </si>
  <si>
    <t xml:space="preserve">אפשרויות מרובות. להחליט בכלל אם להכניס. זה רק אם זה יעזור לי לקלוט מאפיינים שבאמת רלוונטיים ולא נעים לשאול כמו מבנה גוף. אולי במקום למלא את זה - זה ישמש את הAI לנתח את המאפיין של מבנה גוף וטיפוח נגיד. </t>
  </si>
  <si>
    <t>initial_attraction_signal</t>
  </si>
  <si>
    <t>בניית ציון שיעור אישור</t>
  </si>
  <si>
    <t>ציון בסיס</t>
  </si>
  <si>
    <t>raw_score = sum(ratings) / count</t>
  </si>
  <si>
    <t>שונות בין תמונות</t>
  </si>
  <si>
    <t>photo_scores = [score1, score2, score3]
variance = שונות בין התמונות</t>
  </si>
  <si>
    <t>stability_factor = max(0.7, 1 - variance)
final_score = adjusted_score * stability_factor</t>
  </si>
  <si>
    <t>אמינות דירוגים</t>
  </si>
  <si>
    <t>count_confidence = min(1, rating_count / 30)</t>
  </si>
  <si>
    <t>אמינות תמונות</t>
  </si>
  <si>
    <t>photo_range = max(photo_scores) - min(photo_scores)</t>
  </si>
  <si>
    <t>photo_confidence = 1 - photo_range</t>
  </si>
  <si>
    <t>confidence = 0.7 * count_confidence + 0.3 * photo_confidence</t>
  </si>
  <si>
    <t>אמינות כללית</t>
  </si>
  <si>
    <t>final_score = 0.5 + (raw_score - 0.5) * confidence</t>
  </si>
  <si>
    <t>ציון מתוקן</t>
  </si>
  <si>
    <t>score_gap = abs(userA.final_score - userB.final_score)</t>
  </si>
  <si>
    <t>חישוב הפער בין משתמשים</t>
  </si>
  <si>
    <t>המטרה של החישוב שככל שעולים במספרים זה פחות משפיע על האמינות</t>
  </si>
  <si>
    <t>נחשב ציון בסיס לכל תמונה, פערים קונסיסטנטים בין דירוגי התמונות יורידו אמינות</t>
  </si>
  <si>
    <t>שיעור אישור שהמשתמש עצמו קיבל. 
ציון שיחושב לפי הדירוגים שהמשתמש קיבל מאחרים. פירוט החישוב בטאב בניית ציונים. נשתמש כסינון ראשוני רק מרמת ודאות שנגדיר.</t>
  </si>
  <si>
    <t xml:space="preserve">פיקיות בבחירה לפי מראה. ישמש להחליט מי מדרג ראשון. 
ציון שיחושב לפי הדירוגים שהמשתמש עשה בעצמו. 
בול = 0, אפשרי = 0.5, לא קלעת = 1.  
pickiness_score = average(rejection_values) * 100 </t>
  </si>
  <si>
    <t>ציון המשתמש += 30</t>
  </si>
  <si>
    <t>סגנון כללי</t>
  </si>
  <si>
    <t>StyleType</t>
  </si>
  <si>
    <t>מיוחד</t>
  </si>
  <si>
    <t>סגנון הטיפוס. אפשר לתת לכל משתמש מספר אפשרויות לפי סגנונות קבועים מראש: ערס, היפי, חנון, קפליניסט, ביביסט, מלומד, סובייטי, תל אביבי, היפסטר, חיית מסיבות, המעורב חברתית, צופיפניק.  מה עוד?</t>
  </si>
  <si>
    <t>לפי הגדרת התאמות טיפוסים שנעשה</t>
  </si>
  <si>
    <t xml:space="preserve">עד כמה המשתמש "סחי"  </t>
  </si>
  <si>
    <t xml:space="preserve">מדד קוגניטיבי פנימי כללי להתאמה מחשבתית (אינטליגנציה כללית). </t>
  </si>
  <si>
    <t>לפי הגדרת התאמות טיפוסים שנעשה ברמת שניה</t>
  </si>
  <si>
    <t xml:space="preserve">רק על טיפוסים ספציפיים שלא הולכים אחד עם השני. רמה ראשונה - לא הולכים בכלל, מסנן לכולם. רמה שניה - פחות מתאימים, נסנן רק למשתמשים שרגישים לסגנון. </t>
  </si>
  <si>
    <t>אהבת הארץ וציונות</t>
  </si>
  <si>
    <t>צמחונות</t>
  </si>
  <si>
    <t>מוסר עבודה</t>
  </si>
  <si>
    <t>"ילד טוב"</t>
  </si>
  <si>
    <t>ציונות, אהבת המדינה</t>
  </si>
  <si>
    <t>ימניות/שמאלניות</t>
  </si>
  <si>
    <t>כמה שיותר ימני - דירוג גבוה יותר</t>
  </si>
  <si>
    <t>כמה שיותר צמחוני - דירוג גבוה יותר. טבעוני יהיה הגבוה ביותר</t>
  </si>
  <si>
    <t>עד כמה המשתמש "ילד טוב" - נשמע לחוקים, לא מרדן, לא מעגל פינות וכו'.</t>
  </si>
  <si>
    <t>מוסר עבודה גבוה</t>
  </si>
  <si>
    <r>
      <t xml:space="preserve">מסנן. רק למי שחולק אותה זהות. או מי שהגדיר "לא משנה" במגדר רצוי (אחרי וידוא עם המשתמש). </t>
    </r>
    <r>
      <rPr>
        <b/>
        <i/>
        <sz val="11"/>
        <color theme="1"/>
        <rFont val="Arial"/>
        <family val="2"/>
      </rPr>
      <t>להשלים</t>
    </r>
  </si>
  <si>
    <t>לא בטוח שרלוונטי, כי אולי הai לא מספיק טוב בלזהות.</t>
  </si>
  <si>
    <t>דברים שעלולים להוות דיל ברייקרס אצל הצד השני. למשל - מישהו שגר עם ההורים.</t>
  </si>
  <si>
    <t>זיהוי רעילות - אלימות, גזענות וכל מה שאתה מזהה כרעיל</t>
  </si>
  <si>
    <t>האם באמת מחפש שידוכים או שבא להטריל את המערכת</t>
  </si>
  <si>
    <t>פתיחות לרעיונות וחוויות, לא במובן של פתיחות רגשית.</t>
  </si>
  <si>
    <t>extovert</t>
  </si>
  <si>
    <t>ככל שהמוחצנות גבוהה - נתן ציון גבוה יותר</t>
  </si>
  <si>
    <t>ציון המשתמש += 20</t>
  </si>
  <si>
    <r>
      <t xml:space="preserve">ספורטיבי, מטופח... </t>
    </r>
    <r>
      <rPr>
        <b/>
        <sz val="11"/>
        <color theme="1"/>
        <rFont val="Calibri"/>
        <family val="2"/>
        <scheme val="minor"/>
      </rPr>
      <t>להשלים</t>
    </r>
  </si>
  <si>
    <t>בהמשך אולי נעשה את זה יותר מדויק</t>
  </si>
  <si>
    <t>נשיות / גבריות</t>
  </si>
  <si>
    <t>GenderMatched</t>
  </si>
  <si>
    <r>
      <rPr>
        <b/>
        <sz val="11"/>
        <color theme="1"/>
        <rFont val="Calibri"/>
        <family val="2"/>
        <scheme val="minor"/>
      </rPr>
      <t xml:space="preserve">רלוונטי רק עבור גייז. </t>
    </r>
    <r>
      <rPr>
        <sz val="11"/>
        <color theme="1"/>
        <rFont val="Calibri"/>
        <family val="2"/>
        <scheme val="minor"/>
      </rPr>
      <t xml:space="preserve">
ערכים אפשריים - נשי/גברי לגבר ונשית/גברית לאישה</t>
    </r>
  </si>
  <si>
    <t>אפשרויות מרובות. להחליט בכלל אם להכניס. זה רק אם זה יעזור הי לקלוט מאפיינים שבאמת רלוונטיים ולא נעים לשאול כמו מבנה גוף. אולי במקום למלא את זה - זה ישמש את הAI לנתח את המאפיין בה מבנה גוף וטיפוח נגיד.</t>
  </si>
  <si>
    <t>אפשרויות מרובות. להחליט בכלל אם להכניס. זה רק אם זה יעזור  ג לקלוט מאפיינים שבאמת רלוונטיים ולא נעים לשאול כמו מבנה גוף. אולי במקום למלא את זה - זה ישמש את הAI לנתח את המאפיין ,  מבנה גוף וטיפוח נגיד.</t>
  </si>
  <si>
    <t>אפשרויות מרובות. להחליט בכלל אם להכניס. זה רק אם זה יעזור ונ לקלוט מאפיינים שבאמת רלוונטיים ולא נעים לשאול כמו מבנה גוף. אולי במקום למלא את זה - זה ישמש את הAI לנתח את המאפיין נו מבנה גוף וטיפוח נגיד.</t>
  </si>
  <si>
    <t>אפשרויות מרובות. להחליט בכלל אם להכניס. זה רק אם זה יעזור  א לקלוט מאפיינים שבאמת רלוונטיים ולא נעים לשאול כמו מבנה גוף. אולי במקום למלא את זה - זה ישמש את הAI לנתח את המאפיין ,  מבנה גוף וטיפוח נגיד.</t>
  </si>
  <si>
    <t>אפשרויות מרובות. להחליט בכלל אם להכניס. זה רק אם זה יעזור 
ע לקלוט מאפיינים שבאמת רלוונטיים ולא נעים לשאול כמו מבנה גוף. אולי במקום למלא את זה - זה ישמש את הAI לנתח את המאפיין  
 מבנה גוף וטיפוח נגיד.</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</si>
</sst>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Calibri"/>
      <family val="2"/>
      <scheme val="minor"/>
    </font>
    <font>
      <sz val="11"/>
      <color theme="1"/>
      <name val="Aptos"/>
      <family val="2"/>
    </font>
    <font>
      <b/>
      <sz val="11"/>
      <color theme="1"/>
      <name val="Aptos"/>
      <family val="2"/>
    </font>
    <font>
      <b/>
      <sz val="11"/>
      <color theme="1"/>
      <name val="Arial"/>
      <family val="2"/>
    </font>
    <font>
      <sz val="11"/>
      <color theme="1"/>
      <name val="Arial"/>
      <family val="2"/>
    </font>
    <font>
      <b/>
      <i/>
      <sz val="11"/>
      <color theme="1"/>
      <name val="Aptos"/>
      <family val="2"/>
    </font>
    <font>
      <b/>
      <sz val="11"/>
      <color theme="1"/>
      <name val="Calibri"/>
      <family val="2"/>
      <scheme val="minor"/>
    </font>
    <font>
      <b/>
      <i/>
      <sz val="11"/>
      <color theme="1"/>
      <name val="Calibri"/>
      <family val="2"/>
      <scheme val="minor"/>
    </font>
    <font>
      <i/>
      <sz val="11"/>
      <color theme="1"/>
      <name val="Calibri"/>
      <family val="2"/>
      <scheme val="minor"/>
    </font>
    <font>
      <b/>
      <sz val="12"/>
      <color theme="1"/>
      <name val="Calibri"/>
      <family val="2"/>
      <scheme val="minor"/>
    </font>
    <font>
      <sz val="10"/>
      <color theme="1"/>
      <name val="Arial"/>
      <family val="2"/>
    </font>
    <font>
      <sz val="10"/>
      <color theme="1"/>
      <name val="Arial Unicode MS"/>
    </font>
    <font>
      <b/>
      <i/>
      <sz val="11"/>
      <color theme="1"/>
      <name val="Arial"/>
      <family val="2"/>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1">
    <xf numFmtId="0" fontId="0" fillId="0" borderId="0"/>
  </cellStyleXfs>
  <cellXfs count="37">
    <xf numFmtId="0" fontId="0" fillId="0" borderId="0" xfId="0"/>
    <xf numFmtId="0" fontId="1" fillId="0" borderId="0" xfId="0" applyFont="1" applyAlignment="1">
      <alignment vertical="center" wrapText="1"/>
    </xf>
    <xf numFmtId="0" fontId="1" fillId="0" borderId="0" xfId="0" applyFont="1" applyAlignment="1">
      <alignment vertical="center" wrapText="1" readingOrder="2"/>
    </xf>
    <xf numFmtId="0" fontId="4" fillId="0" borderId="0" xfId="0" applyFont="1" applyAlignment="1">
      <alignment vertical="center" wrapText="1" readingOrder="2"/>
    </xf>
    <xf numFmtId="0" fontId="3" fillId="0" borderId="0" xfId="0" applyFont="1" applyAlignment="1">
      <alignment horizontal="right" vertical="center" readingOrder="2"/>
    </xf>
    <xf numFmtId="0" fontId="0" fillId="0" borderId="0" xfId="0" applyAlignment="1">
      <alignment wrapText="1"/>
    </xf>
    <xf numFmtId="0" fontId="4" fillId="0" borderId="0" xfId="0" applyFont="1" applyAlignment="1">
      <alignment vertical="center" wrapText="1"/>
    </xf>
    <xf numFmtId="0" fontId="3" fillId="2" borderId="0" xfId="0" applyFont="1" applyFill="1" applyAlignment="1">
      <alignment vertical="center" wrapText="1"/>
    </xf>
    <xf numFmtId="0" fontId="0" fillId="0" borderId="0" xfId="0" applyAlignment="1">
      <alignment readingOrder="2"/>
    </xf>
    <xf numFmtId="0" fontId="3" fillId="2" borderId="0" xfId="0" applyFont="1" applyFill="1" applyAlignment="1">
      <alignment vertical="center" wrapText="1" readingOrder="2"/>
    </xf>
    <xf numFmtId="0" fontId="6" fillId="2" borderId="0" xfId="0" applyFont="1" applyFill="1" applyAlignment="1">
      <alignment vertical="center" wrapText="1" readingOrder="2"/>
    </xf>
    <xf numFmtId="0" fontId="0" fillId="0" borderId="0" xfId="0" applyAlignment="1">
      <alignment vertical="center" wrapText="1" readingOrder="2"/>
    </xf>
    <xf numFmtId="0" fontId="0" fillId="0" borderId="0" xfId="0" applyAlignment="1">
      <alignment wrapText="1" readingOrder="2"/>
    </xf>
    <xf numFmtId="0" fontId="6" fillId="0" borderId="0" xfId="0" applyFont="1" applyAlignment="1">
      <alignment wrapText="1"/>
    </xf>
    <xf numFmtId="0" fontId="6" fillId="0" borderId="0" xfId="0" applyFont="1"/>
    <xf numFmtId="2" fontId="0" fillId="0" borderId="0" xfId="0" applyNumberFormat="1" applyAlignment="1">
      <alignment wrapText="1"/>
    </xf>
    <xf numFmtId="0" fontId="4" fillId="0" borderId="0" xfId="0" applyFont="1" applyAlignment="1">
      <alignment vertical="center" readingOrder="2"/>
    </xf>
    <xf numFmtId="0" fontId="3" fillId="0" borderId="0" xfId="0" applyFont="1" applyAlignment="1">
      <alignment vertical="center" wrapText="1" readingOrder="2"/>
    </xf>
    <xf numFmtId="0" fontId="3" fillId="0" borderId="0" xfId="0" applyFont="1" applyAlignment="1">
      <alignment vertical="center" wrapText="1"/>
    </xf>
    <xf numFmtId="0" fontId="7" fillId="0" borderId="0" xfId="0" applyFont="1"/>
    <xf numFmtId="0" fontId="8" fillId="0" borderId="0" xfId="0" applyFont="1"/>
    <xf numFmtId="0" fontId="5" fillId="0" borderId="0" xfId="0" applyFont="1" applyAlignment="1">
      <alignment vertical="center" wrapText="1" readingOrder="2"/>
    </xf>
    <xf numFmtId="0" fontId="6" fillId="2" borderId="0" xfId="0" applyFont="1" applyFill="1" applyAlignment="1">
      <alignment wrapText="1"/>
    </xf>
    <xf numFmtId="0" fontId="9" fillId="0" borderId="0" xfId="0" applyFont="1"/>
    <xf numFmtId="0" fontId="6" fillId="0" borderId="0" xfId="0" applyFont="1" applyAlignment="1">
      <alignment horizontal="right" readingOrder="2"/>
    </xf>
    <xf numFmtId="2" fontId="6" fillId="0" borderId="0" xfId="0" applyNumberFormat="1" applyFont="1"/>
    <xf numFmtId="0" fontId="6" fillId="0" borderId="0" xfId="0" applyFont="1" applyAlignment="1">
      <alignment readingOrder="2"/>
    </xf>
    <xf numFmtId="0" fontId="4" fillId="0" borderId="0" xfId="0" applyFont="1" applyAlignment="1">
      <alignment horizontal="right" vertical="center" readingOrder="2"/>
    </xf>
    <xf numFmtId="0" fontId="10" fillId="0" borderId="0" xfId="0" applyFont="1" applyAlignment="1">
      <alignment horizontal="right" vertical="center" readingOrder="2"/>
    </xf>
    <xf numFmtId="14" fontId="0" fillId="0" borderId="0" xfId="0" applyNumberFormat="1"/>
    <xf numFmtId="0" fontId="7" fillId="0" borderId="0" xfId="0" applyFont="1" applyAlignment="1">
      <alignment vertical="center" wrapText="1" readingOrder="2"/>
    </xf>
    <xf numFmtId="0" fontId="8" fillId="0" borderId="0" xfId="0" applyFont="1" applyAlignment="1">
      <alignment vertical="center" wrapText="1" readingOrder="2"/>
    </xf>
    <xf numFmtId="0" fontId="0" fillId="0" borderId="0" xfId="0" applyFont="1" applyAlignment="1">
      <alignment vertical="center" wrapText="1" readingOrder="2"/>
    </xf>
    <xf numFmtId="0" fontId="11" fillId="0" borderId="0" xfId="0" applyFont="1" applyAlignment="1">
      <alignment wrapText="1"/>
    </xf>
    <xf numFmtId="0" fontId="4" fillId="0" borderId="0" xfId="0" applyFont="1" applyAlignment="1">
      <alignment horizontal="right" vertical="center" wrapText="1" readingOrder="2"/>
    </xf>
    <xf numFmtId="0" fontId="7" fillId="0" borderId="0" xfId="0" applyFont="1" applyAlignment="1">
      <alignment wrapText="1"/>
    </xf>
    <xf numFmtId="0" fontId="0"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79E50-A761-4208-AC1F-7EE61CFDD025}">
  <dimension ref="A1:I27"/>
  <sheetViews>
    <sheetView rightToLeft="1" topLeftCell="A16" workbookViewId="0">
      <selection activeCell="A29" sqref="A29"/>
    </sheetView>
  </sheetViews>
  <sheetFormatPr defaultRowHeight="14.4"/>
  <cols>
    <col min="1" max="1" width="18.44140625" customWidth="1"/>
    <col min="2" max="2" width="18.88671875" customWidth="1"/>
    <col min="3" max="3" width="16.77734375" customWidth="1"/>
    <col min="4" max="4" width="14" customWidth="1"/>
    <col min="5" max="6" width="19.44140625" customWidth="1"/>
    <col min="7" max="7" width="39.88671875" customWidth="1"/>
    <col min="8" max="8" width="28.44140625" customWidth="1"/>
    <col min="9" max="9" width="29.77734375" customWidth="1"/>
  </cols>
  <sheetData>
    <row r="1" spans="1:9">
      <c r="A1" s="4" t="s">
        <v>133</v>
      </c>
      <c r="B1" s="8"/>
      <c r="C1" s="8"/>
      <c r="D1" s="8"/>
      <c r="E1" s="8"/>
      <c r="F1" s="8"/>
      <c r="G1" s="8"/>
      <c r="H1" s="8"/>
      <c r="I1" s="8"/>
    </row>
    <row r="3" spans="1:9">
      <c r="A3" s="10" t="s">
        <v>93</v>
      </c>
      <c r="B3" s="10" t="s">
        <v>94</v>
      </c>
      <c r="C3" s="10" t="s">
        <v>85</v>
      </c>
      <c r="D3" s="10" t="s">
        <v>2</v>
      </c>
      <c r="E3" s="10" t="s">
        <v>139</v>
      </c>
      <c r="F3" s="10" t="s">
        <v>152</v>
      </c>
      <c r="G3" s="10" t="s">
        <v>87</v>
      </c>
      <c r="H3" s="10" t="s">
        <v>284</v>
      </c>
      <c r="I3" s="10" t="s">
        <v>136</v>
      </c>
    </row>
    <row r="4" spans="1:9">
      <c r="A4" s="11" t="s">
        <v>97</v>
      </c>
      <c r="B4" s="11" t="s">
        <v>90</v>
      </c>
      <c r="D4" s="5"/>
      <c r="E4" s="11" t="s">
        <v>95</v>
      </c>
      <c r="F4" s="11"/>
      <c r="G4" s="11" t="s">
        <v>96</v>
      </c>
      <c r="H4" s="11"/>
      <c r="I4" s="8"/>
    </row>
    <row r="5" spans="1:9">
      <c r="A5" s="11" t="s">
        <v>99</v>
      </c>
      <c r="B5" s="11" t="s">
        <v>100</v>
      </c>
      <c r="C5" s="11" t="s">
        <v>8</v>
      </c>
      <c r="D5" s="5"/>
      <c r="E5" s="5" t="s">
        <v>140</v>
      </c>
      <c r="F5" s="5"/>
      <c r="G5" s="11" t="s">
        <v>98</v>
      </c>
      <c r="H5" s="11"/>
      <c r="I5" s="8"/>
    </row>
    <row r="6" spans="1:9" ht="43.2">
      <c r="A6" s="11" t="s">
        <v>101</v>
      </c>
      <c r="B6" s="11" t="s">
        <v>102</v>
      </c>
      <c r="C6" s="11" t="s">
        <v>8</v>
      </c>
      <c r="D6" s="5"/>
      <c r="E6" s="5" t="s">
        <v>140</v>
      </c>
      <c r="F6" s="5" t="s">
        <v>153</v>
      </c>
      <c r="G6" s="11" t="s">
        <v>101</v>
      </c>
      <c r="H6" s="11" t="s">
        <v>322</v>
      </c>
      <c r="I6" s="5"/>
    </row>
    <row r="7" spans="1:9" ht="43.2">
      <c r="A7" s="11" t="s">
        <v>103</v>
      </c>
      <c r="B7" s="11" t="s">
        <v>104</v>
      </c>
      <c r="C7" s="11" t="s">
        <v>8</v>
      </c>
      <c r="D7" s="5" t="s">
        <v>134</v>
      </c>
      <c r="E7" s="5" t="s">
        <v>140</v>
      </c>
      <c r="F7" s="5" t="s">
        <v>153</v>
      </c>
      <c r="G7" s="11" t="s">
        <v>103</v>
      </c>
      <c r="H7" s="11" t="s">
        <v>323</v>
      </c>
      <c r="I7" s="5" t="s">
        <v>307</v>
      </c>
    </row>
    <row r="8" spans="1:9" ht="72">
      <c r="A8" s="11" t="s">
        <v>106</v>
      </c>
      <c r="B8" s="11" t="s">
        <v>107</v>
      </c>
      <c r="C8" s="11" t="s">
        <v>8</v>
      </c>
      <c r="D8" s="5" t="s">
        <v>135</v>
      </c>
      <c r="E8" s="5" t="s">
        <v>140</v>
      </c>
      <c r="F8" s="5" t="s">
        <v>153</v>
      </c>
      <c r="G8" s="11" t="s">
        <v>105</v>
      </c>
      <c r="H8" s="11" t="s">
        <v>285</v>
      </c>
      <c r="I8" s="11" t="s">
        <v>329</v>
      </c>
    </row>
    <row r="9" spans="1:9" ht="28.8">
      <c r="A9" s="11" t="s">
        <v>137</v>
      </c>
      <c r="B9" s="11" t="s">
        <v>138</v>
      </c>
      <c r="C9" s="11" t="s">
        <v>8</v>
      </c>
      <c r="D9" s="5"/>
      <c r="E9" s="5" t="s">
        <v>141</v>
      </c>
      <c r="F9" s="5" t="s">
        <v>153</v>
      </c>
      <c r="G9" s="11" t="s">
        <v>137</v>
      </c>
      <c r="H9" s="11"/>
      <c r="I9" s="11" t="s">
        <v>330</v>
      </c>
    </row>
    <row r="10" spans="1:9" ht="100.8">
      <c r="A10" s="11" t="s">
        <v>108</v>
      </c>
      <c r="B10" s="11" t="s">
        <v>109</v>
      </c>
      <c r="C10" s="11" t="s">
        <v>8</v>
      </c>
      <c r="D10" s="5"/>
      <c r="E10" s="5" t="s">
        <v>140</v>
      </c>
      <c r="F10" s="5"/>
      <c r="G10" s="11" t="s">
        <v>108</v>
      </c>
      <c r="H10" s="11" t="s">
        <v>303</v>
      </c>
      <c r="I10" s="5"/>
    </row>
    <row r="11" spans="1:9" ht="43.2">
      <c r="A11" s="11" t="s">
        <v>91</v>
      </c>
      <c r="B11" s="11" t="s">
        <v>110</v>
      </c>
      <c r="C11" s="11" t="s">
        <v>8</v>
      </c>
      <c r="D11" s="5"/>
      <c r="E11" s="5" t="s">
        <v>140</v>
      </c>
      <c r="F11" s="5" t="s">
        <v>154</v>
      </c>
      <c r="G11" s="11" t="s">
        <v>91</v>
      </c>
      <c r="H11" s="11" t="s">
        <v>324</v>
      </c>
      <c r="I11" s="5"/>
    </row>
    <row r="12" spans="1:9" ht="28.8">
      <c r="A12" s="11" t="s">
        <v>112</v>
      </c>
      <c r="B12" s="11" t="s">
        <v>113</v>
      </c>
      <c r="C12" s="11" t="s">
        <v>8</v>
      </c>
      <c r="D12" s="5" t="s">
        <v>143</v>
      </c>
      <c r="E12" s="5" t="s">
        <v>140</v>
      </c>
      <c r="F12" s="5" t="s">
        <v>155</v>
      </c>
      <c r="G12" s="11" t="s">
        <v>111</v>
      </c>
      <c r="H12" s="11"/>
      <c r="I12" s="30" t="s">
        <v>142</v>
      </c>
    </row>
    <row r="13" spans="1:9" ht="72">
      <c r="A13" s="11" t="s">
        <v>115</v>
      </c>
      <c r="B13" s="11" t="s">
        <v>116</v>
      </c>
      <c r="D13" s="5" t="s">
        <v>315</v>
      </c>
      <c r="E13" s="11" t="s">
        <v>144</v>
      </c>
      <c r="F13" s="11" t="s">
        <v>304</v>
      </c>
      <c r="G13" s="11" t="s">
        <v>114</v>
      </c>
      <c r="H13" s="31"/>
      <c r="I13" s="30" t="s">
        <v>316</v>
      </c>
    </row>
    <row r="14" spans="1:9" ht="43.2">
      <c r="A14" s="11" t="s">
        <v>118</v>
      </c>
      <c r="B14" s="11" t="s">
        <v>119</v>
      </c>
      <c r="D14" s="5"/>
      <c r="E14" s="11" t="s">
        <v>95</v>
      </c>
      <c r="F14" s="11" t="s">
        <v>304</v>
      </c>
      <c r="G14" s="11" t="s">
        <v>117</v>
      </c>
      <c r="H14" s="11"/>
      <c r="I14" s="8"/>
    </row>
    <row r="15" spans="1:9" ht="115.2">
      <c r="A15" s="11" t="s">
        <v>120</v>
      </c>
      <c r="B15" s="11" t="s">
        <v>121</v>
      </c>
      <c r="D15" s="5"/>
      <c r="E15" s="11" t="s">
        <v>144</v>
      </c>
      <c r="F15" s="11" t="s">
        <v>304</v>
      </c>
      <c r="G15" s="11" t="s">
        <v>325</v>
      </c>
      <c r="H15" s="11"/>
      <c r="I15" s="32"/>
    </row>
    <row r="16" spans="1:9" ht="28.8">
      <c r="A16" s="11" t="s">
        <v>122</v>
      </c>
      <c r="B16" s="11" t="s">
        <v>123</v>
      </c>
      <c r="C16" s="11" t="s">
        <v>9</v>
      </c>
      <c r="D16" s="5"/>
      <c r="E16" s="5" t="s">
        <v>144</v>
      </c>
      <c r="F16" s="5" t="s">
        <v>156</v>
      </c>
      <c r="G16" s="11" t="s">
        <v>326</v>
      </c>
      <c r="H16" s="11"/>
      <c r="I16" s="32"/>
    </row>
    <row r="17" spans="1:9">
      <c r="A17" s="11" t="s">
        <v>125</v>
      </c>
      <c r="B17" s="11" t="s">
        <v>126</v>
      </c>
      <c r="C17" s="11" t="s">
        <v>8</v>
      </c>
      <c r="D17" s="5"/>
      <c r="E17" s="5" t="s">
        <v>95</v>
      </c>
      <c r="F17" s="5"/>
      <c r="G17" s="11" t="s">
        <v>124</v>
      </c>
      <c r="H17" s="11"/>
      <c r="I17" s="30" t="s">
        <v>306</v>
      </c>
    </row>
    <row r="18" spans="1:9">
      <c r="A18" s="11" t="s">
        <v>128</v>
      </c>
      <c r="B18" s="11" t="s">
        <v>129</v>
      </c>
      <c r="C18" s="11"/>
      <c r="D18" s="5"/>
      <c r="E18" s="5" t="s">
        <v>95</v>
      </c>
      <c r="F18" s="5"/>
      <c r="G18" s="11" t="s">
        <v>127</v>
      </c>
      <c r="H18" s="11"/>
      <c r="I18" s="8"/>
    </row>
    <row r="19" spans="1:9" ht="86.4">
      <c r="A19" s="11" t="s">
        <v>78</v>
      </c>
      <c r="B19" s="11" t="s">
        <v>77</v>
      </c>
      <c r="C19" s="11" t="s">
        <v>9</v>
      </c>
      <c r="D19" s="11"/>
      <c r="E19" s="11" t="s">
        <v>144</v>
      </c>
      <c r="F19" s="11" t="s">
        <v>305</v>
      </c>
      <c r="G19" s="11" t="s">
        <v>369</v>
      </c>
      <c r="H19" s="11"/>
      <c r="I19" s="30"/>
    </row>
    <row r="20" spans="1:9" ht="57.6">
      <c r="A20" s="11" t="s">
        <v>79</v>
      </c>
      <c r="B20" s="11" t="s">
        <v>348</v>
      </c>
      <c r="C20" s="11" t="s">
        <v>9</v>
      </c>
      <c r="D20" s="11"/>
      <c r="E20" s="11" t="s">
        <v>144</v>
      </c>
      <c r="F20" s="11" t="s">
        <v>157</v>
      </c>
      <c r="G20" s="11" t="s">
        <v>368</v>
      </c>
      <c r="H20" s="32" t="s">
        <v>370</v>
      </c>
      <c r="I20" s="30"/>
    </row>
    <row r="21" spans="1:9" ht="57.6">
      <c r="A21" s="11" t="s">
        <v>149</v>
      </c>
      <c r="B21" s="11" t="s">
        <v>151</v>
      </c>
      <c r="C21" s="11" t="s">
        <v>9</v>
      </c>
      <c r="E21" s="5" t="s">
        <v>150</v>
      </c>
      <c r="F21" s="5" t="s">
        <v>158</v>
      </c>
      <c r="G21" s="11" t="s">
        <v>328</v>
      </c>
      <c r="H21" s="11"/>
      <c r="I21" s="11" t="s">
        <v>327</v>
      </c>
    </row>
    <row r="22" spans="1:9">
      <c r="A22" s="11" t="s">
        <v>318</v>
      </c>
    </row>
    <row r="23" spans="1:9">
      <c r="A23" s="11" t="s">
        <v>319</v>
      </c>
    </row>
    <row r="24" spans="1:9" ht="28.8">
      <c r="A24" s="11" t="s">
        <v>320</v>
      </c>
    </row>
    <row r="25" spans="1:9">
      <c r="A25" s="11" t="s">
        <v>321</v>
      </c>
    </row>
    <row r="26" spans="1:9">
      <c r="A26" s="11" t="s">
        <v>130</v>
      </c>
      <c r="B26" s="12" t="s">
        <v>145</v>
      </c>
      <c r="C26" s="12"/>
      <c r="D26" s="12"/>
      <c r="E26" s="12" t="s">
        <v>141</v>
      </c>
      <c r="F26" s="12"/>
      <c r="G26" s="11" t="s">
        <v>132</v>
      </c>
    </row>
    <row r="27" spans="1:9">
      <c r="A27" s="11" t="s">
        <v>131</v>
      </c>
      <c r="B27" s="12" t="s">
        <v>146</v>
      </c>
      <c r="C27" s="12"/>
      <c r="D27" s="12"/>
      <c r="E27" s="12" t="s">
        <v>141</v>
      </c>
      <c r="F27" s="12"/>
      <c r="G27" s="11" t="s">
        <v>132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9"/>
  <sheetViews>
    <sheetView rightToLeft="1" topLeftCell="A28" workbookViewId="0">
      <selection activeCell="C38" sqref="C38"/>
    </sheetView>
  </sheetViews>
  <sheetFormatPr defaultRowHeight="14.4"/>
  <cols>
    <col min="1" max="1" width="17.21875" customWidth="1"/>
    <col min="2" max="2" width="20.5546875" customWidth="1"/>
    <col min="3" max="3" width="33.77734375" customWidth="1"/>
    <col min="6" max="6" width="12.109375" customWidth="1"/>
    <col min="7" max="7" width="17.77734375" customWidth="1"/>
    <col min="8" max="8" width="12" customWidth="1"/>
    <col min="9" max="9" width="15.33203125" customWidth="1"/>
    <col min="10" max="10" width="40.6640625" customWidth="1"/>
  </cols>
  <sheetData>
    <row r="1" spans="1:10">
      <c r="A1" s="4" t="s">
        <v>86</v>
      </c>
    </row>
    <row r="2" spans="1:10">
      <c r="A2" s="28" t="s">
        <v>244</v>
      </c>
    </row>
    <row r="4" spans="1:10" ht="27.6">
      <c r="A4" s="9" t="s">
        <v>7</v>
      </c>
      <c r="B4" s="9" t="s">
        <v>6</v>
      </c>
      <c r="C4" s="9" t="s">
        <v>5</v>
      </c>
      <c r="D4" s="9" t="s">
        <v>3</v>
      </c>
      <c r="E4" s="9" t="s">
        <v>4</v>
      </c>
      <c r="F4" s="9" t="s">
        <v>85</v>
      </c>
      <c r="G4" s="9" t="s">
        <v>0</v>
      </c>
      <c r="H4" s="9" t="s">
        <v>191</v>
      </c>
      <c r="I4" s="9" t="s">
        <v>192</v>
      </c>
      <c r="J4" s="9" t="s">
        <v>136</v>
      </c>
    </row>
    <row r="5" spans="1:10" ht="43.2">
      <c r="A5" s="3" t="s">
        <v>11</v>
      </c>
      <c r="B5" s="2" t="s">
        <v>10</v>
      </c>
      <c r="C5" s="3" t="s">
        <v>377</v>
      </c>
      <c r="D5" s="2">
        <v>0.7</v>
      </c>
      <c r="E5" s="2">
        <v>10</v>
      </c>
      <c r="F5" s="3" t="s">
        <v>9</v>
      </c>
      <c r="G5" s="3" t="s">
        <v>8</v>
      </c>
      <c r="H5" s="2">
        <v>15</v>
      </c>
      <c r="I5" s="2" t="s">
        <v>193</v>
      </c>
      <c r="J5" s="21" t="s">
        <v>258</v>
      </c>
    </row>
    <row r="6" spans="1:10" ht="28.8">
      <c r="A6" s="3" t="s">
        <v>13</v>
      </c>
      <c r="B6" s="2" t="s">
        <v>12</v>
      </c>
      <c r="C6" s="3" t="s">
        <v>376</v>
      </c>
      <c r="D6" s="2">
        <v>0.6</v>
      </c>
      <c r="E6" s="2">
        <v>7</v>
      </c>
      <c r="F6" s="3" t="s">
        <v>8</v>
      </c>
      <c r="G6" s="3" t="s">
        <v>8</v>
      </c>
      <c r="I6" s="2" t="s">
        <v>194</v>
      </c>
    </row>
    <row r="7" spans="1:10" ht="28.8">
      <c r="A7" s="3" t="s">
        <v>16</v>
      </c>
      <c r="B7" s="2" t="s">
        <v>15</v>
      </c>
      <c r="C7" s="3" t="s">
        <v>14</v>
      </c>
      <c r="D7" s="2">
        <v>0.7</v>
      </c>
      <c r="E7" s="2">
        <v>8</v>
      </c>
      <c r="F7" s="3" t="s">
        <v>8</v>
      </c>
      <c r="G7" s="3" t="s">
        <v>8</v>
      </c>
      <c r="I7" s="2" t="s">
        <v>195</v>
      </c>
    </row>
    <row r="8" spans="1:10">
      <c r="A8" s="3" t="s">
        <v>19</v>
      </c>
      <c r="B8" s="2" t="s">
        <v>18</v>
      </c>
      <c r="C8" s="3" t="s">
        <v>17</v>
      </c>
      <c r="D8" s="2">
        <v>0.7</v>
      </c>
      <c r="E8" s="2">
        <v>8</v>
      </c>
      <c r="F8" s="3" t="s">
        <v>8</v>
      </c>
      <c r="G8" s="3" t="s">
        <v>8</v>
      </c>
      <c r="I8" s="2"/>
    </row>
    <row r="9" spans="1:10" ht="82.8">
      <c r="A9" s="3" t="s">
        <v>371</v>
      </c>
      <c r="B9" s="2" t="s">
        <v>372</v>
      </c>
      <c r="C9" s="3" t="s">
        <v>374</v>
      </c>
      <c r="D9" s="2">
        <v>0.7</v>
      </c>
      <c r="E9" s="2">
        <v>8</v>
      </c>
      <c r="F9" s="3" t="s">
        <v>8</v>
      </c>
      <c r="G9" s="3" t="s">
        <v>373</v>
      </c>
      <c r="H9" s="3" t="s">
        <v>375</v>
      </c>
      <c r="I9" s="3" t="s">
        <v>378</v>
      </c>
      <c r="J9" s="3" t="s">
        <v>379</v>
      </c>
    </row>
    <row r="10" spans="1:10" ht="28.8">
      <c r="A10" s="3" t="s">
        <v>24</v>
      </c>
      <c r="B10" s="2" t="s">
        <v>23</v>
      </c>
      <c r="C10" s="3" t="s">
        <v>22</v>
      </c>
      <c r="D10" s="2">
        <v>0.6</v>
      </c>
      <c r="E10" s="2">
        <v>6</v>
      </c>
      <c r="F10" s="3" t="s">
        <v>21</v>
      </c>
      <c r="G10" s="3" t="s">
        <v>8</v>
      </c>
      <c r="I10" s="2" t="s">
        <v>194</v>
      </c>
    </row>
    <row r="11" spans="1:10" ht="28.8">
      <c r="A11" s="3" t="s">
        <v>27</v>
      </c>
      <c r="B11" s="2" t="s">
        <v>26</v>
      </c>
      <c r="C11" s="3" t="s">
        <v>25</v>
      </c>
      <c r="D11" s="2">
        <v>0.6</v>
      </c>
      <c r="E11" s="2">
        <v>6</v>
      </c>
      <c r="F11" s="3" t="s">
        <v>8</v>
      </c>
      <c r="G11" s="3" t="s">
        <v>8</v>
      </c>
      <c r="I11" s="2" t="s">
        <v>194</v>
      </c>
    </row>
    <row r="12" spans="1:10">
      <c r="A12" s="3" t="s">
        <v>30</v>
      </c>
      <c r="B12" s="2" t="s">
        <v>29</v>
      </c>
      <c r="C12" s="3" t="s">
        <v>28</v>
      </c>
      <c r="D12" s="2">
        <v>0.5</v>
      </c>
      <c r="E12" s="2">
        <v>5</v>
      </c>
      <c r="F12" s="3" t="s">
        <v>8</v>
      </c>
      <c r="G12" s="3" t="s">
        <v>8</v>
      </c>
      <c r="I12" s="2"/>
    </row>
    <row r="13" spans="1:10" ht="27.6">
      <c r="A13" s="3" t="s">
        <v>31</v>
      </c>
      <c r="B13" s="2" t="s">
        <v>396</v>
      </c>
      <c r="C13" s="3" t="s">
        <v>397</v>
      </c>
      <c r="D13" s="2">
        <v>0.4</v>
      </c>
      <c r="E13" s="2">
        <v>2</v>
      </c>
      <c r="F13" s="3" t="s">
        <v>8</v>
      </c>
      <c r="G13" s="3" t="s">
        <v>8</v>
      </c>
      <c r="I13" s="2"/>
    </row>
    <row r="14" spans="1:10">
      <c r="A14" s="3" t="s">
        <v>34</v>
      </c>
      <c r="B14" s="2" t="s">
        <v>33</v>
      </c>
      <c r="C14" s="3" t="s">
        <v>32</v>
      </c>
      <c r="D14" s="2">
        <v>0.5</v>
      </c>
      <c r="E14" s="2">
        <v>4</v>
      </c>
      <c r="F14" s="3" t="s">
        <v>8</v>
      </c>
      <c r="G14" s="3" t="s">
        <v>8</v>
      </c>
      <c r="I14" s="2"/>
    </row>
    <row r="15" spans="1:10">
      <c r="A15" s="3" t="s">
        <v>37</v>
      </c>
      <c r="B15" s="2" t="s">
        <v>36</v>
      </c>
      <c r="C15" s="3" t="s">
        <v>35</v>
      </c>
      <c r="D15" s="2">
        <v>0.5</v>
      </c>
      <c r="E15" s="2">
        <v>3</v>
      </c>
      <c r="F15" s="3" t="s">
        <v>8</v>
      </c>
      <c r="G15" s="3" t="s">
        <v>8</v>
      </c>
      <c r="I15" s="2"/>
    </row>
    <row r="16" spans="1:10">
      <c r="A16" s="3" t="s">
        <v>40</v>
      </c>
      <c r="B16" s="2" t="s">
        <v>39</v>
      </c>
      <c r="C16" s="3" t="s">
        <v>38</v>
      </c>
      <c r="D16" s="2">
        <v>0.6</v>
      </c>
      <c r="E16" s="2">
        <v>5</v>
      </c>
      <c r="F16" s="3" t="s">
        <v>8</v>
      </c>
      <c r="G16" s="3" t="s">
        <v>8</v>
      </c>
      <c r="I16" s="2"/>
    </row>
    <row r="17" spans="1:10">
      <c r="A17" s="3" t="s">
        <v>43</v>
      </c>
      <c r="B17" s="2" t="s">
        <v>42</v>
      </c>
      <c r="C17" s="3" t="s">
        <v>41</v>
      </c>
      <c r="D17" s="2">
        <v>0.6</v>
      </c>
      <c r="E17" s="2">
        <v>5</v>
      </c>
      <c r="F17" s="3" t="s">
        <v>8</v>
      </c>
      <c r="G17" s="3" t="s">
        <v>8</v>
      </c>
      <c r="I17" s="2"/>
    </row>
    <row r="18" spans="1:10" ht="28.8">
      <c r="A18" s="3" t="s">
        <v>46</v>
      </c>
      <c r="B18" s="2" t="s">
        <v>45</v>
      </c>
      <c r="C18" s="3" t="s">
        <v>44</v>
      </c>
      <c r="D18" s="2">
        <v>0.7</v>
      </c>
      <c r="E18" s="2">
        <v>6</v>
      </c>
      <c r="F18" s="3" t="s">
        <v>8</v>
      </c>
      <c r="G18" s="3" t="s">
        <v>8</v>
      </c>
      <c r="I18" s="2" t="s">
        <v>194</v>
      </c>
      <c r="J18" s="5" t="s">
        <v>400</v>
      </c>
    </row>
    <row r="19" spans="1:10">
      <c r="A19" s="3" t="s">
        <v>47</v>
      </c>
      <c r="B19" s="2" t="s">
        <v>48</v>
      </c>
      <c r="C19" s="3" t="s">
        <v>47</v>
      </c>
      <c r="D19" s="2">
        <v>0.7</v>
      </c>
      <c r="E19" s="2">
        <v>9</v>
      </c>
      <c r="F19" s="3" t="s">
        <v>8</v>
      </c>
      <c r="G19" s="3" t="s">
        <v>8</v>
      </c>
      <c r="I19" s="2"/>
    </row>
    <row r="20" spans="1:10">
      <c r="A20" s="3" t="s">
        <v>51</v>
      </c>
      <c r="B20" s="2" t="s">
        <v>50</v>
      </c>
      <c r="C20" s="3" t="s">
        <v>49</v>
      </c>
      <c r="D20" s="2">
        <v>0.5</v>
      </c>
      <c r="E20" s="2">
        <v>4</v>
      </c>
      <c r="F20" s="3" t="s">
        <v>8</v>
      </c>
      <c r="G20" s="3" t="s">
        <v>8</v>
      </c>
      <c r="I20" s="2"/>
      <c r="J20" s="36" t="s">
        <v>391</v>
      </c>
    </row>
    <row r="21" spans="1:10">
      <c r="A21" s="3" t="s">
        <v>54</v>
      </c>
      <c r="B21" s="2" t="s">
        <v>53</v>
      </c>
      <c r="C21" s="3" t="s">
        <v>52</v>
      </c>
      <c r="D21" s="2">
        <v>0.6</v>
      </c>
      <c r="E21" s="2">
        <v>4</v>
      </c>
      <c r="F21" s="3" t="s">
        <v>8</v>
      </c>
      <c r="G21" s="2"/>
      <c r="I21" s="2"/>
    </row>
    <row r="22" spans="1:10">
      <c r="A22" s="3" t="s">
        <v>55</v>
      </c>
      <c r="B22" s="2" t="s">
        <v>56</v>
      </c>
      <c r="C22" s="3" t="s">
        <v>55</v>
      </c>
      <c r="D22" s="2">
        <v>0.6</v>
      </c>
      <c r="E22" s="2">
        <v>4</v>
      </c>
      <c r="F22" s="3" t="s">
        <v>21</v>
      </c>
      <c r="G22" s="2"/>
      <c r="I22" s="2"/>
    </row>
    <row r="23" spans="1:10">
      <c r="A23" s="3" t="s">
        <v>59</v>
      </c>
      <c r="B23" s="2" t="s">
        <v>58</v>
      </c>
      <c r="C23" s="3" t="s">
        <v>57</v>
      </c>
      <c r="D23" s="2">
        <v>0.5</v>
      </c>
      <c r="E23" s="2">
        <v>3</v>
      </c>
      <c r="F23" s="3" t="s">
        <v>8</v>
      </c>
      <c r="G23" s="2"/>
      <c r="I23" s="2"/>
    </row>
    <row r="24" spans="1:10">
      <c r="A24" s="3" t="s">
        <v>62</v>
      </c>
      <c r="B24" s="2" t="s">
        <v>61</v>
      </c>
      <c r="C24" s="3" t="s">
        <v>60</v>
      </c>
      <c r="D24" s="2">
        <v>0.5</v>
      </c>
      <c r="E24" s="2">
        <v>3</v>
      </c>
      <c r="F24" s="3" t="s">
        <v>21</v>
      </c>
      <c r="G24" s="2"/>
      <c r="I24" s="2"/>
    </row>
    <row r="25" spans="1:10" ht="27.6">
      <c r="A25" s="3" t="s">
        <v>64</v>
      </c>
      <c r="B25" s="2" t="s">
        <v>63</v>
      </c>
      <c r="C25" s="3" t="s">
        <v>395</v>
      </c>
      <c r="D25" s="2">
        <v>0.6</v>
      </c>
      <c r="E25" s="2">
        <v>6</v>
      </c>
      <c r="F25" s="3" t="s">
        <v>21</v>
      </c>
      <c r="G25" s="2"/>
      <c r="I25" s="2"/>
    </row>
    <row r="26" spans="1:10">
      <c r="A26" s="3" t="s">
        <v>67</v>
      </c>
      <c r="B26" s="2" t="s">
        <v>66</v>
      </c>
      <c r="C26" s="3" t="s">
        <v>65</v>
      </c>
      <c r="D26" s="2">
        <v>0.6</v>
      </c>
      <c r="E26" s="2">
        <v>7</v>
      </c>
      <c r="F26" s="3" t="s">
        <v>8</v>
      </c>
      <c r="G26" s="2"/>
      <c r="I26" s="2"/>
    </row>
    <row r="27" spans="1:10" ht="28.8">
      <c r="A27" s="3" t="s">
        <v>70</v>
      </c>
      <c r="B27" s="2" t="s">
        <v>69</v>
      </c>
      <c r="C27" s="3" t="s">
        <v>68</v>
      </c>
      <c r="D27" s="2">
        <v>0.6</v>
      </c>
      <c r="E27" s="2">
        <v>7</v>
      </c>
      <c r="F27" s="3" t="s">
        <v>9</v>
      </c>
      <c r="G27" s="2"/>
      <c r="I27" s="2" t="s">
        <v>398</v>
      </c>
      <c r="J27" t="s">
        <v>20</v>
      </c>
    </row>
    <row r="28" spans="1:10">
      <c r="A28" s="3" t="s">
        <v>71</v>
      </c>
      <c r="B28" s="2" t="s">
        <v>72</v>
      </c>
      <c r="C28" s="3" t="s">
        <v>71</v>
      </c>
      <c r="D28" s="2">
        <v>0.6</v>
      </c>
      <c r="E28" s="2">
        <v>5</v>
      </c>
      <c r="F28" s="3" t="s">
        <v>21</v>
      </c>
      <c r="G28" s="2"/>
      <c r="I28" s="2"/>
    </row>
    <row r="29" spans="1:10">
      <c r="A29" s="3" t="s">
        <v>380</v>
      </c>
      <c r="C29" s="3" t="s">
        <v>384</v>
      </c>
      <c r="D29" s="2">
        <v>0.3</v>
      </c>
      <c r="E29" s="2">
        <v>3</v>
      </c>
      <c r="I29" s="2"/>
    </row>
    <row r="30" spans="1:10">
      <c r="A30" s="3" t="s">
        <v>385</v>
      </c>
      <c r="C30" s="3" t="s">
        <v>386</v>
      </c>
      <c r="D30" s="2">
        <v>0.4</v>
      </c>
      <c r="E30" s="2">
        <v>4</v>
      </c>
    </row>
    <row r="31" spans="1:10" ht="27.6">
      <c r="A31" s="3" t="s">
        <v>381</v>
      </c>
      <c r="C31" s="3" t="s">
        <v>387</v>
      </c>
      <c r="D31" s="2">
        <v>0.2</v>
      </c>
      <c r="E31" s="2">
        <v>2</v>
      </c>
    </row>
    <row r="32" spans="1:10">
      <c r="A32" s="3" t="s">
        <v>382</v>
      </c>
      <c r="C32" s="3" t="s">
        <v>389</v>
      </c>
      <c r="D32" s="2">
        <v>0.2</v>
      </c>
      <c r="E32" s="2">
        <v>2</v>
      </c>
    </row>
    <row r="33" spans="1:10" ht="27.6">
      <c r="A33" s="34" t="s">
        <v>383</v>
      </c>
      <c r="C33" s="3" t="s">
        <v>388</v>
      </c>
      <c r="D33" s="2">
        <v>0.5</v>
      </c>
      <c r="E33" s="2">
        <v>4</v>
      </c>
    </row>
    <row r="34" spans="1:10" ht="28.8">
      <c r="A34" s="3" t="s">
        <v>76</v>
      </c>
      <c r="B34" s="2" t="s">
        <v>75</v>
      </c>
      <c r="C34" s="3" t="s">
        <v>74</v>
      </c>
      <c r="D34" s="2">
        <v>0.2</v>
      </c>
      <c r="E34" s="2"/>
      <c r="F34" s="3" t="s">
        <v>9</v>
      </c>
      <c r="G34" s="3" t="s">
        <v>73</v>
      </c>
      <c r="I34" s="2"/>
    </row>
    <row r="35" spans="1:10">
      <c r="A35" s="3" t="s">
        <v>82</v>
      </c>
      <c r="B35" s="2" t="s">
        <v>81</v>
      </c>
      <c r="C35" s="3" t="s">
        <v>80</v>
      </c>
      <c r="D35" s="2">
        <v>0.6</v>
      </c>
      <c r="E35" s="2">
        <v>4</v>
      </c>
      <c r="F35" s="3" t="s">
        <v>9</v>
      </c>
      <c r="G35" s="2"/>
      <c r="I35" s="2"/>
    </row>
    <row r="36" spans="1:10" ht="27.6">
      <c r="A36" s="3" t="s">
        <v>84</v>
      </c>
      <c r="B36" s="2" t="s">
        <v>83</v>
      </c>
      <c r="C36" s="3" t="s">
        <v>393</v>
      </c>
      <c r="D36" s="2">
        <v>0.4</v>
      </c>
      <c r="E36" s="2"/>
      <c r="F36" s="3" t="s">
        <v>9</v>
      </c>
      <c r="G36" s="3" t="s">
        <v>73</v>
      </c>
      <c r="I36" s="2"/>
    </row>
    <row r="37" spans="1:10" ht="27.6">
      <c r="A37" s="3" t="s">
        <v>147</v>
      </c>
      <c r="B37" s="2" t="s">
        <v>148</v>
      </c>
      <c r="C37" s="3" t="s">
        <v>394</v>
      </c>
      <c r="D37">
        <v>0.4</v>
      </c>
      <c r="E37" s="2"/>
      <c r="F37" s="3" t="s">
        <v>9</v>
      </c>
      <c r="G37" s="3" t="s">
        <v>73</v>
      </c>
    </row>
    <row r="38" spans="1:10" ht="41.4">
      <c r="A38" s="3" t="s">
        <v>310</v>
      </c>
      <c r="B38" s="2" t="s">
        <v>311</v>
      </c>
      <c r="C38" s="3" t="s">
        <v>312</v>
      </c>
      <c r="D38" s="2">
        <v>0.4</v>
      </c>
      <c r="F38" s="3" t="s">
        <v>9</v>
      </c>
      <c r="G38" s="3" t="s">
        <v>313</v>
      </c>
      <c r="I38" s="19"/>
      <c r="J38" s="3" t="s">
        <v>390</v>
      </c>
    </row>
    <row r="39" spans="1:10" ht="41.4">
      <c r="A39" s="3" t="s">
        <v>308</v>
      </c>
      <c r="B39" s="2" t="s">
        <v>309</v>
      </c>
      <c r="C39" s="3" t="s">
        <v>392</v>
      </c>
      <c r="D39" s="2">
        <v>0.1</v>
      </c>
      <c r="E39" s="2"/>
      <c r="F39" s="3" t="s">
        <v>9</v>
      </c>
      <c r="G39" s="3" t="s">
        <v>314</v>
      </c>
      <c r="J39" s="3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089DD-60E7-435A-A2E0-E6886B132143}">
  <dimension ref="A1:L12"/>
  <sheetViews>
    <sheetView rightToLeft="1" tabSelected="1" workbookViewId="0">
      <selection activeCell="L6" sqref="L6"/>
    </sheetView>
  </sheetViews>
  <sheetFormatPr defaultRowHeight="14.4"/>
  <cols>
    <col min="1" max="1" width="12.88671875" customWidth="1"/>
    <col min="2" max="2" width="14.6640625" customWidth="1"/>
    <col min="3" max="3" width="11.88671875" customWidth="1"/>
    <col min="4" max="4" width="23.88671875" customWidth="1"/>
    <col min="7" max="7" width="10.33203125" customWidth="1"/>
    <col min="8" max="8" width="10.77734375" customWidth="1"/>
    <col min="9" max="9" width="11.77734375" customWidth="1"/>
    <col min="10" max="10" width="12.33203125" customWidth="1"/>
    <col min="11" max="11" width="23.5546875" customWidth="1"/>
    <col min="12" max="12" width="42.44140625" customWidth="1"/>
  </cols>
  <sheetData>
    <row r="1" spans="1:12">
      <c r="A1" s="16" t="s">
        <v>183</v>
      </c>
    </row>
    <row r="2" spans="1:12" ht="27.6">
      <c r="A2" s="9" t="s">
        <v>7</v>
      </c>
      <c r="B2" s="9" t="s">
        <v>6</v>
      </c>
      <c r="C2" s="9" t="s">
        <v>185</v>
      </c>
      <c r="D2" s="9" t="s">
        <v>5</v>
      </c>
      <c r="E2" s="9" t="s">
        <v>3</v>
      </c>
      <c r="F2" s="9" t="s">
        <v>4</v>
      </c>
      <c r="G2" s="9" t="s">
        <v>85</v>
      </c>
      <c r="H2" s="9" t="s">
        <v>1</v>
      </c>
      <c r="I2" s="9" t="s">
        <v>241</v>
      </c>
      <c r="J2" s="9" t="s">
        <v>0</v>
      </c>
      <c r="K2" s="9" t="s">
        <v>184</v>
      </c>
      <c r="L2" s="9" t="s">
        <v>136</v>
      </c>
    </row>
    <row r="3" spans="1:12">
      <c r="A3" t="s">
        <v>79</v>
      </c>
      <c r="B3" t="s">
        <v>348</v>
      </c>
      <c r="C3" t="s">
        <v>158</v>
      </c>
      <c r="F3" s="19" t="s">
        <v>294</v>
      </c>
      <c r="G3" t="s">
        <v>9</v>
      </c>
      <c r="H3" s="19" t="s">
        <v>294</v>
      </c>
      <c r="I3" s="19" t="s">
        <v>294</v>
      </c>
    </row>
    <row r="4" spans="1:12" ht="28.8">
      <c r="A4" t="s">
        <v>91</v>
      </c>
      <c r="B4" t="s">
        <v>110</v>
      </c>
      <c r="C4" t="s">
        <v>186</v>
      </c>
      <c r="F4">
        <v>80</v>
      </c>
      <c r="G4" t="s">
        <v>8</v>
      </c>
      <c r="H4" t="s">
        <v>188</v>
      </c>
      <c r="L4" s="5" t="s">
        <v>189</v>
      </c>
    </row>
    <row r="5" spans="1:12" ht="72">
      <c r="A5" t="s">
        <v>92</v>
      </c>
      <c r="B5" t="s">
        <v>337</v>
      </c>
      <c r="C5" s="5" t="s">
        <v>346</v>
      </c>
      <c r="F5" t="s">
        <v>20</v>
      </c>
      <c r="K5" t="s">
        <v>399</v>
      </c>
      <c r="L5" s="5" t="s">
        <v>347</v>
      </c>
    </row>
    <row r="6" spans="1:12" ht="28.8">
      <c r="A6" t="s">
        <v>169</v>
      </c>
      <c r="B6" t="s">
        <v>338</v>
      </c>
      <c r="C6" t="s">
        <v>187</v>
      </c>
      <c r="E6">
        <v>0.5</v>
      </c>
      <c r="F6">
        <v>90</v>
      </c>
      <c r="G6" t="s">
        <v>9</v>
      </c>
      <c r="K6" t="s">
        <v>332</v>
      </c>
      <c r="L6" s="5" t="s">
        <v>345</v>
      </c>
    </row>
    <row r="7" spans="1:12">
      <c r="A7" t="s">
        <v>166</v>
      </c>
      <c r="B7" t="s">
        <v>339</v>
      </c>
      <c r="C7" t="s">
        <v>187</v>
      </c>
      <c r="E7">
        <v>0</v>
      </c>
      <c r="F7">
        <v>10</v>
      </c>
      <c r="G7" t="s">
        <v>8</v>
      </c>
      <c r="K7" t="s">
        <v>333</v>
      </c>
    </row>
    <row r="8" spans="1:12">
      <c r="A8" t="s">
        <v>167</v>
      </c>
      <c r="B8" t="s">
        <v>340</v>
      </c>
      <c r="C8" t="s">
        <v>187</v>
      </c>
      <c r="E8">
        <v>0</v>
      </c>
      <c r="F8">
        <v>0</v>
      </c>
      <c r="G8" t="s">
        <v>8</v>
      </c>
      <c r="K8" t="s">
        <v>335</v>
      </c>
    </row>
    <row r="9" spans="1:12">
      <c r="A9" t="s">
        <v>168</v>
      </c>
      <c r="B9" t="s">
        <v>341</v>
      </c>
      <c r="C9" t="s">
        <v>187</v>
      </c>
      <c r="E9">
        <v>0</v>
      </c>
      <c r="F9">
        <v>0</v>
      </c>
      <c r="G9" t="s">
        <v>8</v>
      </c>
      <c r="K9" t="s">
        <v>334</v>
      </c>
    </row>
    <row r="10" spans="1:12">
      <c r="A10" t="s">
        <v>331</v>
      </c>
      <c r="C10" t="s">
        <v>187</v>
      </c>
      <c r="E10">
        <v>0.3</v>
      </c>
      <c r="F10">
        <v>50</v>
      </c>
      <c r="G10" t="s">
        <v>9</v>
      </c>
      <c r="K10" t="s">
        <v>336</v>
      </c>
    </row>
    <row r="11" spans="1:12" ht="28.8">
      <c r="A11" t="s">
        <v>342</v>
      </c>
      <c r="B11" t="s">
        <v>344</v>
      </c>
      <c r="C11" t="s">
        <v>187</v>
      </c>
      <c r="E11">
        <v>0.4</v>
      </c>
      <c r="F11">
        <v>60</v>
      </c>
      <c r="G11" t="s">
        <v>8</v>
      </c>
      <c r="K11" s="5" t="s">
        <v>343</v>
      </c>
    </row>
    <row r="12" spans="1:12" ht="43.2">
      <c r="A12" t="s">
        <v>401</v>
      </c>
      <c r="B12" t="s">
        <v>402</v>
      </c>
      <c r="C12" t="s">
        <v>187</v>
      </c>
      <c r="E12">
        <v>0.5</v>
      </c>
      <c r="F12">
        <v>80</v>
      </c>
      <c r="G12" t="s">
        <v>9</v>
      </c>
      <c r="K12" s="5" t="s">
        <v>403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B4537-96F8-4545-983B-184D65EBDB8F}">
  <dimension ref="A1:J51"/>
  <sheetViews>
    <sheetView rightToLeft="1" workbookViewId="0">
      <selection activeCell="A10" sqref="A10"/>
    </sheetView>
  </sheetViews>
  <sheetFormatPr defaultRowHeight="14.4"/>
  <cols>
    <col min="1" max="1" width="8.88671875" style="5"/>
    <col min="2" max="2" width="16.88671875" style="5" customWidth="1"/>
    <col min="3" max="3" width="13" style="5" customWidth="1"/>
    <col min="4" max="4" width="14.109375" style="5" customWidth="1"/>
    <col min="5" max="5" width="13" style="5" customWidth="1"/>
    <col min="6" max="6" width="17.109375" style="5" customWidth="1"/>
    <col min="7" max="7" width="25.109375" style="5" customWidth="1"/>
    <col min="8" max="8" width="11.5546875" style="5" bestFit="1" customWidth="1"/>
    <col min="9" max="9" width="44.44140625" style="5" customWidth="1"/>
    <col min="10" max="10" width="11.5546875" style="5" bestFit="1" customWidth="1"/>
    <col min="11" max="16384" width="8.88671875" style="5"/>
  </cols>
  <sheetData>
    <row r="1" spans="1:10">
      <c r="A1" s="14" t="s">
        <v>172</v>
      </c>
    </row>
    <row r="3" spans="1:10">
      <c r="A3" s="14" t="s">
        <v>206</v>
      </c>
    </row>
    <row r="4" spans="1:10" ht="27.6">
      <c r="A4" s="7" t="s">
        <v>6</v>
      </c>
      <c r="B4" s="7" t="s">
        <v>89</v>
      </c>
      <c r="C4" s="7" t="s">
        <v>160</v>
      </c>
      <c r="D4" s="7" t="s">
        <v>202</v>
      </c>
      <c r="E4" s="7" t="s">
        <v>173</v>
      </c>
      <c r="F4" s="7" t="s">
        <v>174</v>
      </c>
      <c r="G4" s="7" t="s">
        <v>182</v>
      </c>
    </row>
    <row r="5" spans="1:10" ht="28.8">
      <c r="C5" s="5" t="s">
        <v>208</v>
      </c>
      <c r="D5" s="5" t="s">
        <v>218</v>
      </c>
      <c r="E5" s="5" t="s">
        <v>209</v>
      </c>
      <c r="F5" s="5" t="s">
        <v>210</v>
      </c>
      <c r="G5" s="5" t="s">
        <v>200</v>
      </c>
    </row>
    <row r="8" spans="1:10">
      <c r="A8" s="14" t="s">
        <v>207</v>
      </c>
    </row>
    <row r="9" spans="1:10" ht="41.4">
      <c r="A9" s="7" t="s">
        <v>6</v>
      </c>
      <c r="B9" s="7" t="s">
        <v>89</v>
      </c>
      <c r="C9" s="7" t="s">
        <v>201</v>
      </c>
      <c r="D9" s="7" t="s">
        <v>203</v>
      </c>
      <c r="E9" s="7" t="s">
        <v>88</v>
      </c>
      <c r="F9" s="7" t="s">
        <v>173</v>
      </c>
      <c r="G9" s="7" t="s">
        <v>205</v>
      </c>
      <c r="H9" s="7" t="s">
        <v>204</v>
      </c>
      <c r="I9" s="7" t="s">
        <v>182</v>
      </c>
      <c r="J9"/>
    </row>
    <row r="10" spans="1:10" ht="43.2">
      <c r="C10" s="5" t="s">
        <v>211</v>
      </c>
      <c r="D10" s="5" t="s">
        <v>212</v>
      </c>
      <c r="E10" s="5" t="s">
        <v>213</v>
      </c>
      <c r="F10" s="5" t="s">
        <v>214</v>
      </c>
      <c r="G10" s="5" t="s">
        <v>215</v>
      </c>
      <c r="H10" s="5" t="s">
        <v>216</v>
      </c>
      <c r="I10" s="5" t="s">
        <v>217</v>
      </c>
      <c r="J10" s="17"/>
    </row>
    <row r="11" spans="1:10">
      <c r="F11" s="18"/>
      <c r="G11" s="18"/>
      <c r="H11" s="17"/>
      <c r="I11" s="17"/>
      <c r="J11"/>
    </row>
    <row r="12" spans="1:10">
      <c r="A12"/>
      <c r="B12"/>
      <c r="C12"/>
      <c r="D12"/>
      <c r="E12"/>
      <c r="F12"/>
      <c r="G12"/>
      <c r="H12"/>
      <c r="I12"/>
      <c r="J12"/>
    </row>
    <row r="13" spans="1:10" ht="15.6">
      <c r="A13" s="23" t="s">
        <v>219</v>
      </c>
      <c r="B13" s="17"/>
      <c r="C13" s="17"/>
      <c r="D13" s="17"/>
      <c r="E13" s="18"/>
      <c r="F13"/>
      <c r="G13"/>
      <c r="H13"/>
      <c r="I13"/>
      <c r="J13"/>
    </row>
    <row r="14" spans="1:10">
      <c r="J14"/>
    </row>
    <row r="15" spans="1:10">
      <c r="J15"/>
    </row>
    <row r="16" spans="1:10">
      <c r="B16"/>
      <c r="C16"/>
      <c r="D16"/>
      <c r="E16"/>
      <c r="F16"/>
      <c r="G16"/>
      <c r="H16"/>
      <c r="I16"/>
      <c r="J16"/>
    </row>
    <row r="17" spans="1:9">
      <c r="A17" s="4"/>
    </row>
    <row r="19" spans="1:9">
      <c r="A19" s="19"/>
      <c r="B19" s="18"/>
      <c r="C19" s="18"/>
      <c r="D19" s="18"/>
      <c r="E19" s="18"/>
      <c r="F19" s="18"/>
      <c r="G19" s="18"/>
      <c r="H19" s="18"/>
      <c r="I19" s="18"/>
    </row>
    <row r="20" spans="1:9">
      <c r="A20" s="1"/>
      <c r="B20" s="1"/>
      <c r="C20" s="6"/>
      <c r="D20" s="6"/>
      <c r="E20" s="1"/>
      <c r="F20" s="1"/>
      <c r="G20" s="6"/>
      <c r="H20" s="6"/>
      <c r="I20" s="6"/>
    </row>
    <row r="21" spans="1:9">
      <c r="A21" s="1"/>
      <c r="B21" s="1"/>
      <c r="C21" s="6"/>
      <c r="D21" s="6"/>
      <c r="E21" s="1"/>
      <c r="F21" s="1"/>
      <c r="G21" s="6"/>
      <c r="H21" s="6"/>
      <c r="I21" s="6"/>
    </row>
    <row r="22" spans="1:9">
      <c r="A22" s="1"/>
      <c r="B22" s="1"/>
      <c r="C22" s="6"/>
      <c r="D22" s="1"/>
      <c r="E22" s="1"/>
      <c r="F22" s="1"/>
      <c r="G22" s="6"/>
      <c r="H22" s="6"/>
      <c r="I22" s="6"/>
    </row>
    <row r="23" spans="1:9">
      <c r="A23" s="1"/>
      <c r="B23" s="1"/>
      <c r="C23" s="6"/>
      <c r="D23" s="6"/>
      <c r="E23" s="1"/>
      <c r="F23" s="1"/>
      <c r="G23" s="6"/>
      <c r="H23" s="6"/>
      <c r="I23" s="6"/>
    </row>
    <row r="24" spans="1:9">
      <c r="A24" s="1"/>
      <c r="B24" s="1"/>
      <c r="C24" s="6"/>
      <c r="D24" s="6"/>
      <c r="E24" s="1"/>
      <c r="F24" s="1"/>
      <c r="G24" s="6"/>
      <c r="H24" s="6"/>
      <c r="I24" s="6"/>
    </row>
    <row r="28" spans="1:9">
      <c r="B28"/>
    </row>
    <row r="29" spans="1:9">
      <c r="B29"/>
    </row>
    <row r="30" spans="1:9">
      <c r="B30"/>
    </row>
    <row r="31" spans="1:9">
      <c r="B31"/>
    </row>
    <row r="32" spans="1:9">
      <c r="B32"/>
    </row>
    <row r="33" spans="2:9">
      <c r="B33"/>
    </row>
    <row r="35" spans="2:9">
      <c r="B35" s="14"/>
    </row>
    <row r="37" spans="2:9">
      <c r="B37"/>
      <c r="I37"/>
    </row>
    <row r="38" spans="2:9">
      <c r="I38"/>
    </row>
    <row r="39" spans="2:9">
      <c r="I39"/>
    </row>
    <row r="41" spans="2:9">
      <c r="I41"/>
    </row>
    <row r="49" spans="2:2">
      <c r="B49"/>
    </row>
    <row r="51" spans="2:2">
      <c r="B51"/>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82F6D-1248-4EE3-8D30-0A86E7B5E4BF}">
  <dimension ref="A1:M12"/>
  <sheetViews>
    <sheetView rightToLeft="1" workbookViewId="0"/>
  </sheetViews>
  <sheetFormatPr defaultRowHeight="14.4"/>
  <cols>
    <col min="1" max="1" width="15.21875" customWidth="1"/>
    <col min="2" max="2" width="17.88671875" customWidth="1"/>
    <col min="3" max="3" width="11.33203125" customWidth="1"/>
    <col min="4" max="4" width="13.44140625" customWidth="1"/>
    <col min="5" max="5" width="8.88671875" customWidth="1"/>
    <col min="11" max="11" width="16.88671875" customWidth="1"/>
    <col min="12" max="12" width="37.33203125" customWidth="1"/>
    <col min="13" max="13" width="35" customWidth="1"/>
  </cols>
  <sheetData>
    <row r="1" spans="1:13">
      <c r="A1" s="14" t="s">
        <v>263</v>
      </c>
      <c r="K1" s="14" t="s">
        <v>349</v>
      </c>
    </row>
    <row r="2" spans="1:13">
      <c r="K2" t="s">
        <v>350</v>
      </c>
      <c r="L2" t="s">
        <v>351</v>
      </c>
    </row>
    <row r="3" spans="1:13" ht="57.6">
      <c r="A3" s="14" t="s">
        <v>264</v>
      </c>
      <c r="B3" s="13" t="s">
        <v>265</v>
      </c>
      <c r="C3" s="13" t="s">
        <v>266</v>
      </c>
      <c r="D3" s="14" t="s">
        <v>267</v>
      </c>
      <c r="E3" s="13" t="s">
        <v>270</v>
      </c>
      <c r="F3" s="13" t="s">
        <v>269</v>
      </c>
      <c r="G3" s="14" t="s">
        <v>268</v>
      </c>
      <c r="K3" t="s">
        <v>355</v>
      </c>
      <c r="L3" s="5" t="s">
        <v>356</v>
      </c>
      <c r="M3" s="5" t="s">
        <v>366</v>
      </c>
    </row>
    <row r="4" spans="1:13" ht="28.8">
      <c r="A4">
        <v>7</v>
      </c>
      <c r="B4">
        <v>5</v>
      </c>
      <c r="C4">
        <v>2</v>
      </c>
      <c r="D4">
        <f>MIN(A4 * 5, 100)</f>
        <v>35</v>
      </c>
      <c r="E4">
        <f>MAX(0, 100 - B4 * 10)</f>
        <v>50</v>
      </c>
      <c r="F4">
        <f>MAX(0, 100 - C4 * 10)</f>
        <v>80</v>
      </c>
      <c r="G4">
        <f>0.4*D4+0.2*E4+0.4*F4</f>
        <v>56</v>
      </c>
      <c r="K4" t="s">
        <v>352</v>
      </c>
      <c r="L4" s="5" t="s">
        <v>353</v>
      </c>
      <c r="M4" s="5" t="s">
        <v>367</v>
      </c>
    </row>
    <row r="5" spans="1:13" ht="43.2">
      <c r="A5">
        <v>3</v>
      </c>
      <c r="B5">
        <v>4</v>
      </c>
      <c r="C5">
        <v>2</v>
      </c>
      <c r="D5">
        <f>MIN(A5 * 5, 100)</f>
        <v>15</v>
      </c>
      <c r="E5">
        <f>MAX(0, 100 - B5 * 10)</f>
        <v>60</v>
      </c>
      <c r="F5">
        <f>MAX(0, 100 - C5 * 10)</f>
        <v>80</v>
      </c>
      <c r="G5">
        <f>0.4*D5+0.2*E5+0.4*F5</f>
        <v>50</v>
      </c>
      <c r="L5" s="5" t="s">
        <v>354</v>
      </c>
    </row>
    <row r="6" spans="1:13" ht="28.8">
      <c r="A6">
        <v>1</v>
      </c>
      <c r="B6">
        <v>1</v>
      </c>
      <c r="C6">
        <v>1</v>
      </c>
      <c r="D6">
        <f>MIN(A6 * 5, 100)</f>
        <v>5</v>
      </c>
      <c r="E6">
        <f>MAX(0, 100 - B6 * 10)</f>
        <v>90</v>
      </c>
      <c r="F6">
        <f>MAX(0, 100 - C6 * 10)</f>
        <v>90</v>
      </c>
      <c r="G6">
        <f>0.4*D6+0.2*E6+0.4*F6</f>
        <v>56</v>
      </c>
      <c r="K6" t="s">
        <v>357</v>
      </c>
      <c r="L6" s="5" t="s">
        <v>358</v>
      </c>
    </row>
    <row r="7" spans="1:13">
      <c r="A7">
        <v>3</v>
      </c>
      <c r="B7">
        <v>10</v>
      </c>
      <c r="C7">
        <v>6</v>
      </c>
      <c r="D7">
        <f>MIN(A7 * 5, 100)</f>
        <v>15</v>
      </c>
      <c r="E7">
        <f>MAX(0, 100 - B7 * 10)</f>
        <v>0</v>
      </c>
      <c r="F7">
        <f>MAX(0, 100 - C7 * 10)</f>
        <v>40</v>
      </c>
      <c r="G7">
        <f>0.4*D7+0.2*E7+0.4*F7</f>
        <v>22</v>
      </c>
      <c r="L7" s="5" t="s">
        <v>359</v>
      </c>
    </row>
    <row r="8" spans="1:13" ht="28.8">
      <c r="A8">
        <v>14</v>
      </c>
      <c r="B8">
        <v>4</v>
      </c>
      <c r="C8">
        <v>4</v>
      </c>
      <c r="D8">
        <f>MIN(A8 * 5, 100)</f>
        <v>70</v>
      </c>
      <c r="E8">
        <f>MAX(0, 100 - B8 * 10)</f>
        <v>60</v>
      </c>
      <c r="F8">
        <f>MAX(0, 100 - C8 * 10)</f>
        <v>60</v>
      </c>
      <c r="G8">
        <f>0.4*D8+0.2*E8+0.4*F8</f>
        <v>64</v>
      </c>
      <c r="K8" t="s">
        <v>361</v>
      </c>
      <c r="L8" s="5" t="s">
        <v>360</v>
      </c>
    </row>
    <row r="9" spans="1:13" ht="27">
      <c r="A9">
        <v>1</v>
      </c>
      <c r="B9">
        <v>10</v>
      </c>
      <c r="C9">
        <v>5</v>
      </c>
      <c r="D9">
        <f>MIN(A9 * 5, 100)</f>
        <v>5</v>
      </c>
      <c r="E9">
        <f>MAX(0, 100 - B9 * 10)</f>
        <v>0</v>
      </c>
      <c r="F9">
        <f>MAX(0, 100 - C9 * 10)</f>
        <v>50</v>
      </c>
      <c r="G9">
        <f>0.4*D9+0.2*E9+0.4*F9</f>
        <v>22</v>
      </c>
      <c r="K9" s="14" t="s">
        <v>363</v>
      </c>
      <c r="L9" s="33" t="s">
        <v>362</v>
      </c>
    </row>
    <row r="10" spans="1:13">
      <c r="A10">
        <v>2</v>
      </c>
      <c r="B10">
        <v>40</v>
      </c>
      <c r="C10">
        <v>10</v>
      </c>
      <c r="D10">
        <f>MIN(A10 * 5, 100)</f>
        <v>10</v>
      </c>
      <c r="E10">
        <f>MAX(0, 100 - B10 * 10)</f>
        <v>0</v>
      </c>
      <c r="F10">
        <f>MAX(0, 100 - C10 * 10)</f>
        <v>0</v>
      </c>
      <c r="G10">
        <f>0.4*D10+0.2*E10+0.4*F10</f>
        <v>4</v>
      </c>
    </row>
    <row r="11" spans="1:13" ht="28.8">
      <c r="A11">
        <v>7</v>
      </c>
      <c r="B11">
        <v>40</v>
      </c>
      <c r="C11">
        <v>10</v>
      </c>
      <c r="D11">
        <f>MIN(A11 * 5, 100)</f>
        <v>35</v>
      </c>
      <c r="E11">
        <f>MAX(0, 100 - B11 * 10)</f>
        <v>0</v>
      </c>
      <c r="F11">
        <f>MAX(0, 100 - C11 * 10)</f>
        <v>0</v>
      </c>
      <c r="G11">
        <f>0.4*D11+0.2*E11+0.4*F11</f>
        <v>14</v>
      </c>
      <c r="K11" s="5" t="s">
        <v>365</v>
      </c>
      <c r="L11" s="5" t="s">
        <v>364</v>
      </c>
    </row>
    <row r="12" spans="1:13">
      <c r="A12">
        <v>14</v>
      </c>
      <c r="B12">
        <v>40</v>
      </c>
      <c r="C12">
        <v>10</v>
      </c>
      <c r="D12">
        <f>MIN(A12 * 5, 100)</f>
        <v>70</v>
      </c>
      <c r="E12">
        <f>MAX(0, 100 - B12 * 10)</f>
        <v>0</v>
      </c>
      <c r="F12">
        <f>MAX(0, 100 - C12 * 10)</f>
        <v>0</v>
      </c>
      <c r="G12">
        <f>0.4*D12+0.2*E12+0.4*F12</f>
        <v>28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5149E-0B86-4D57-8B9A-686514500CE9}">
  <dimension ref="B1:M22"/>
  <sheetViews>
    <sheetView rightToLeft="1" workbookViewId="0">
      <selection activeCell="H14" sqref="H14"/>
    </sheetView>
  </sheetViews>
  <sheetFormatPr defaultRowHeight="14.4"/>
  <cols>
    <col min="2" max="2" width="15.44140625" customWidth="1"/>
    <col min="3" max="3" width="11.5546875" bestFit="1" customWidth="1"/>
    <col min="4" max="4" width="9.109375" customWidth="1"/>
    <col min="9" max="9" width="14.5546875" customWidth="1"/>
  </cols>
  <sheetData>
    <row r="1" spans="2:13">
      <c r="B1" s="14" t="s">
        <v>190</v>
      </c>
      <c r="G1" s="24" t="s">
        <v>197</v>
      </c>
      <c r="J1" s="19" t="s">
        <v>199</v>
      </c>
    </row>
    <row r="3" spans="2:13">
      <c r="B3" s="5"/>
      <c r="C3" s="5" t="s">
        <v>159</v>
      </c>
      <c r="E3" s="5"/>
      <c r="F3" s="5" t="s">
        <v>161</v>
      </c>
      <c r="H3" s="5"/>
      <c r="I3" s="5"/>
      <c r="J3" s="5"/>
      <c r="K3" s="5"/>
      <c r="L3" s="5"/>
    </row>
    <row r="4" spans="2:13" ht="28.8">
      <c r="B4" s="5" t="s">
        <v>7</v>
      </c>
      <c r="C4" s="13" t="s">
        <v>175</v>
      </c>
      <c r="D4" s="13" t="s">
        <v>176</v>
      </c>
      <c r="E4" s="13" t="s">
        <v>177</v>
      </c>
      <c r="F4" s="13" t="s">
        <v>178</v>
      </c>
      <c r="G4" s="13" t="s">
        <v>179</v>
      </c>
      <c r="H4" s="13" t="s">
        <v>180</v>
      </c>
      <c r="I4" s="5" t="s">
        <v>163</v>
      </c>
      <c r="J4" s="5" t="s">
        <v>181</v>
      </c>
      <c r="K4" s="5" t="s">
        <v>171</v>
      </c>
      <c r="L4" s="5" t="s">
        <v>164</v>
      </c>
      <c r="M4" s="13" t="s">
        <v>170</v>
      </c>
    </row>
    <row r="5" spans="2:13">
      <c r="B5" s="5" t="s">
        <v>162</v>
      </c>
      <c r="C5" s="5">
        <v>90</v>
      </c>
      <c r="D5" s="5">
        <v>95</v>
      </c>
      <c r="E5" s="5">
        <v>0.8</v>
      </c>
      <c r="F5" s="5">
        <v>90</v>
      </c>
      <c r="G5" s="5">
        <v>72</v>
      </c>
      <c r="H5" s="5">
        <v>0.9</v>
      </c>
      <c r="I5" s="15">
        <f>SQRT(H5*E5)</f>
        <v>0.84852813742385713</v>
      </c>
      <c r="J5" s="15">
        <f>(C5+F5)/2</f>
        <v>90</v>
      </c>
      <c r="K5" s="15">
        <f>I5*J5</f>
        <v>76.367532368147138</v>
      </c>
      <c r="L5" s="5">
        <f>100-ABS(G5-D5)</f>
        <v>77</v>
      </c>
      <c r="M5">
        <f>L5*K5</f>
        <v>5880.2999923473299</v>
      </c>
    </row>
    <row r="6" spans="2:13">
      <c r="B6" s="5" t="s">
        <v>13</v>
      </c>
      <c r="C6" s="5">
        <v>85</v>
      </c>
      <c r="D6" s="5">
        <v>20</v>
      </c>
      <c r="E6" s="5">
        <v>0.6</v>
      </c>
      <c r="F6" s="5">
        <v>85</v>
      </c>
      <c r="G6" s="5">
        <v>20</v>
      </c>
      <c r="H6" s="5">
        <v>0.8</v>
      </c>
      <c r="I6" s="15">
        <f>SQRT(H6*E6)</f>
        <v>0.69282032302755092</v>
      </c>
      <c r="J6" s="15">
        <f>(C6+F6)/2</f>
        <v>85</v>
      </c>
      <c r="K6" s="15">
        <f>I6*J6</f>
        <v>58.889727457341827</v>
      </c>
      <c r="L6" s="5">
        <f>100-ABS(G6-D6)</f>
        <v>100</v>
      </c>
      <c r="M6">
        <f>L6*K6</f>
        <v>5888.9727457341824</v>
      </c>
    </row>
    <row r="7" spans="2:13">
      <c r="B7" s="5" t="s">
        <v>24</v>
      </c>
      <c r="C7" s="5">
        <v>60</v>
      </c>
      <c r="D7" s="5">
        <v>50</v>
      </c>
      <c r="E7" s="5">
        <v>0.5</v>
      </c>
      <c r="F7" s="5">
        <v>80</v>
      </c>
      <c r="G7" s="5">
        <v>60</v>
      </c>
      <c r="H7" s="5">
        <v>0.6</v>
      </c>
      <c r="I7" s="15">
        <f>SQRT(H7*E7)</f>
        <v>0.54772255750516607</v>
      </c>
      <c r="J7" s="15">
        <f>(C7+F7)/2</f>
        <v>70</v>
      </c>
      <c r="K7" s="15">
        <f>I7*J7</f>
        <v>38.340579025361627</v>
      </c>
      <c r="L7" s="5">
        <f>100-ABS(G7-D7)</f>
        <v>90</v>
      </c>
      <c r="M7">
        <f>L7*K7</f>
        <v>3450.6521122825466</v>
      </c>
    </row>
    <row r="8" spans="2:13">
      <c r="B8" s="5" t="s">
        <v>51</v>
      </c>
      <c r="C8" s="5">
        <v>30</v>
      </c>
      <c r="D8" s="5">
        <v>90</v>
      </c>
      <c r="E8" s="5">
        <v>0.3</v>
      </c>
      <c r="F8" s="5">
        <v>20</v>
      </c>
      <c r="G8" s="5">
        <v>24</v>
      </c>
      <c r="H8" s="5">
        <v>0.5</v>
      </c>
      <c r="I8" s="15">
        <f>SQRT(H8*E8)</f>
        <v>0.3872983346207417</v>
      </c>
      <c r="J8" s="15">
        <f>(C8+F8)/2</f>
        <v>25</v>
      </c>
      <c r="K8" s="15">
        <f>I8*J8</f>
        <v>9.6824583655185421</v>
      </c>
      <c r="L8" s="5">
        <f>100-ABS(G8-D8)</f>
        <v>34</v>
      </c>
      <c r="M8">
        <f>L8*K8</f>
        <v>329.2035844276304</v>
      </c>
    </row>
    <row r="9" spans="2:13">
      <c r="B9" s="5" t="s">
        <v>67</v>
      </c>
      <c r="C9" s="5">
        <v>50</v>
      </c>
      <c r="D9" s="5">
        <v>40</v>
      </c>
      <c r="E9" s="5">
        <v>0.4</v>
      </c>
      <c r="F9" s="5">
        <v>50</v>
      </c>
      <c r="G9" s="5">
        <v>60</v>
      </c>
      <c r="H9" s="5">
        <v>0.8</v>
      </c>
      <c r="I9" s="15">
        <f>SQRT(H9*E9)</f>
        <v>0.56568542494923812</v>
      </c>
      <c r="J9" s="15">
        <f>(C9+F9)/2</f>
        <v>50</v>
      </c>
      <c r="K9" s="15">
        <f>I9*J9</f>
        <v>28.284271247461906</v>
      </c>
      <c r="L9" s="5">
        <f>100-ABS(G9-D9)</f>
        <v>80</v>
      </c>
      <c r="M9">
        <f>L9*K9</f>
        <v>2262.7416997969526</v>
      </c>
    </row>
    <row r="10" spans="2:13">
      <c r="B10" s="5"/>
      <c r="C10" s="5"/>
      <c r="D10" s="5"/>
      <c r="E10" s="5"/>
      <c r="F10" s="5"/>
      <c r="G10" s="5"/>
      <c r="H10" s="5"/>
      <c r="I10" s="15">
        <f>SUM(I5:I9)</f>
        <v>3.0420547775265541</v>
      </c>
      <c r="J10" s="15"/>
      <c r="K10" s="15"/>
      <c r="L10" s="13">
        <f>SUM(L5:L9)/5</f>
        <v>76.2</v>
      </c>
      <c r="M10" s="14">
        <f>SUM(M5:M9)/SUM(K5:K9)</f>
        <v>84.191177492150587</v>
      </c>
    </row>
    <row r="11" spans="2:13">
      <c r="B11" s="5"/>
      <c r="C11" s="5"/>
      <c r="D11" s="5"/>
      <c r="E11" s="5"/>
      <c r="F11" s="5"/>
      <c r="G11" s="5"/>
      <c r="H11" s="5"/>
      <c r="I11" s="5">
        <f>I10/5</f>
        <v>0.60841095550531077</v>
      </c>
      <c r="J11" s="15"/>
      <c r="K11" s="15"/>
      <c r="L11" s="5"/>
    </row>
    <row r="12" spans="2:13">
      <c r="B12" s="5"/>
      <c r="C12" s="5"/>
      <c r="D12" s="5"/>
      <c r="E12" s="5"/>
      <c r="F12" s="5"/>
      <c r="G12" s="5"/>
      <c r="H12" s="5"/>
      <c r="I12" s="5"/>
      <c r="J12" s="5"/>
      <c r="K12" s="5"/>
      <c r="L12" s="5"/>
    </row>
    <row r="13" spans="2:13">
      <c r="B13" s="5"/>
      <c r="C13" s="5"/>
      <c r="D13" s="5"/>
      <c r="E13" s="5"/>
      <c r="F13" s="5"/>
      <c r="G13" s="5"/>
      <c r="H13" s="5"/>
      <c r="I13" s="5"/>
      <c r="J13" s="5"/>
      <c r="K13" s="5"/>
      <c r="L13" s="5"/>
    </row>
    <row r="14" spans="2:13" ht="28.8">
      <c r="B14" s="5" t="s">
        <v>7</v>
      </c>
      <c r="C14" s="13" t="s">
        <v>175</v>
      </c>
      <c r="D14" s="13" t="s">
        <v>176</v>
      </c>
      <c r="E14" s="13" t="s">
        <v>177</v>
      </c>
      <c r="F14" s="13" t="s">
        <v>178</v>
      </c>
      <c r="G14" s="13" t="s">
        <v>179</v>
      </c>
      <c r="H14" s="13" t="s">
        <v>180</v>
      </c>
      <c r="I14" s="5" t="s">
        <v>163</v>
      </c>
      <c r="J14" s="5" t="s">
        <v>181</v>
      </c>
      <c r="K14" s="5" t="s">
        <v>171</v>
      </c>
      <c r="L14" s="5" t="s">
        <v>164</v>
      </c>
      <c r="M14" s="13" t="s">
        <v>170</v>
      </c>
    </row>
    <row r="15" spans="2:13">
      <c r="B15" s="5" t="s">
        <v>162</v>
      </c>
      <c r="C15" s="5">
        <v>70</v>
      </c>
      <c r="D15" s="5">
        <v>80</v>
      </c>
      <c r="E15" s="5">
        <v>0.9</v>
      </c>
      <c r="F15" s="5">
        <v>80</v>
      </c>
      <c r="G15" s="5">
        <v>72</v>
      </c>
      <c r="H15" s="5">
        <v>0.9</v>
      </c>
      <c r="I15" s="15">
        <f t="shared" ref="I15:I20" si="0">SQRT(H15*E15)</f>
        <v>0.9</v>
      </c>
      <c r="J15" s="15">
        <f t="shared" ref="J15:J20" si="1">(C15+F15)/2</f>
        <v>75</v>
      </c>
      <c r="K15" s="15">
        <f t="shared" ref="K15:K20" si="2">I15*J15</f>
        <v>67.5</v>
      </c>
      <c r="L15" s="5">
        <f t="shared" ref="L15:L20" si="3">100-ABS(G15-D15)</f>
        <v>92</v>
      </c>
      <c r="M15">
        <f t="shared" ref="M15:M20" si="4">L15*K15</f>
        <v>6210</v>
      </c>
    </row>
    <row r="16" spans="2:13">
      <c r="B16" s="5" t="s">
        <v>13</v>
      </c>
      <c r="C16" s="5">
        <v>80</v>
      </c>
      <c r="D16" s="5">
        <v>20</v>
      </c>
      <c r="E16" s="5">
        <v>0.6</v>
      </c>
      <c r="F16" s="5">
        <v>80</v>
      </c>
      <c r="G16" s="5">
        <v>90</v>
      </c>
      <c r="H16" s="5">
        <v>0.1</v>
      </c>
      <c r="I16" s="15">
        <f t="shared" si="0"/>
        <v>0.2449489742783178</v>
      </c>
      <c r="J16" s="15">
        <f t="shared" si="1"/>
        <v>80</v>
      </c>
      <c r="K16" s="15">
        <f t="shared" si="2"/>
        <v>19.595917942265423</v>
      </c>
      <c r="L16" s="5">
        <f t="shared" si="3"/>
        <v>30</v>
      </c>
      <c r="M16">
        <f t="shared" si="4"/>
        <v>587.87753826796268</v>
      </c>
    </row>
    <row r="17" spans="2:13">
      <c r="B17" s="5" t="s">
        <v>24</v>
      </c>
      <c r="C17" s="5">
        <v>50</v>
      </c>
      <c r="D17" s="5">
        <v>50</v>
      </c>
      <c r="E17" s="5">
        <v>0.5</v>
      </c>
      <c r="F17" s="5">
        <v>50</v>
      </c>
      <c r="G17" s="5">
        <v>60</v>
      </c>
      <c r="H17" s="5">
        <v>0.6</v>
      </c>
      <c r="I17" s="15">
        <f t="shared" si="0"/>
        <v>0.54772255750516607</v>
      </c>
      <c r="J17" s="15">
        <f t="shared" si="1"/>
        <v>50</v>
      </c>
      <c r="K17" s="15">
        <f t="shared" si="2"/>
        <v>27.386127875258303</v>
      </c>
      <c r="L17" s="5">
        <f t="shared" si="3"/>
        <v>90</v>
      </c>
      <c r="M17">
        <f t="shared" si="4"/>
        <v>2464.7515087732472</v>
      </c>
    </row>
    <row r="18" spans="2:13">
      <c r="B18" s="5" t="s">
        <v>71</v>
      </c>
      <c r="C18" s="5">
        <v>100</v>
      </c>
      <c r="D18" s="5">
        <v>100</v>
      </c>
      <c r="E18" s="5">
        <v>1</v>
      </c>
      <c r="F18" s="5">
        <v>100</v>
      </c>
      <c r="G18" s="5">
        <v>20</v>
      </c>
      <c r="H18" s="5">
        <v>1</v>
      </c>
      <c r="I18" s="15">
        <f t="shared" si="0"/>
        <v>1</v>
      </c>
      <c r="J18" s="15">
        <f t="shared" si="1"/>
        <v>100</v>
      </c>
      <c r="K18" s="15">
        <f t="shared" si="2"/>
        <v>100</v>
      </c>
      <c r="L18" s="5">
        <f t="shared" si="3"/>
        <v>20</v>
      </c>
      <c r="M18">
        <f t="shared" si="4"/>
        <v>2000</v>
      </c>
    </row>
    <row r="19" spans="2:13">
      <c r="B19" s="5" t="s">
        <v>51</v>
      </c>
      <c r="C19" s="5">
        <v>100</v>
      </c>
      <c r="D19" s="5">
        <v>66</v>
      </c>
      <c r="E19" s="5">
        <v>0.3</v>
      </c>
      <c r="F19" s="5">
        <v>100</v>
      </c>
      <c r="G19" s="5">
        <v>24</v>
      </c>
      <c r="H19" s="5">
        <v>0.5</v>
      </c>
      <c r="I19" s="15">
        <f t="shared" si="0"/>
        <v>0.3872983346207417</v>
      </c>
      <c r="J19" s="15">
        <f t="shared" si="1"/>
        <v>100</v>
      </c>
      <c r="K19" s="15">
        <f t="shared" si="2"/>
        <v>38.729833462074168</v>
      </c>
      <c r="L19" s="5">
        <f t="shared" si="3"/>
        <v>58</v>
      </c>
      <c r="M19">
        <f t="shared" si="4"/>
        <v>2246.3303408003017</v>
      </c>
    </row>
    <row r="20" spans="2:13">
      <c r="B20" s="5" t="s">
        <v>67</v>
      </c>
      <c r="C20" s="5">
        <v>20</v>
      </c>
      <c r="D20" s="5">
        <v>40</v>
      </c>
      <c r="E20" s="5">
        <v>0.4</v>
      </c>
      <c r="F20" s="5">
        <v>100</v>
      </c>
      <c r="G20" s="5">
        <v>60</v>
      </c>
      <c r="H20" s="5">
        <v>0.8</v>
      </c>
      <c r="I20" s="15">
        <f t="shared" si="0"/>
        <v>0.56568542494923812</v>
      </c>
      <c r="J20" s="15">
        <f t="shared" si="1"/>
        <v>60</v>
      </c>
      <c r="K20" s="15">
        <f t="shared" si="2"/>
        <v>33.941125496954285</v>
      </c>
      <c r="L20" s="5">
        <f t="shared" si="3"/>
        <v>80</v>
      </c>
      <c r="M20">
        <f t="shared" si="4"/>
        <v>2715.2900397563426</v>
      </c>
    </row>
    <row r="21" spans="2:13">
      <c r="B21" s="5"/>
      <c r="C21" s="5"/>
      <c r="D21" s="5"/>
      <c r="E21" s="5"/>
      <c r="F21" s="5"/>
      <c r="G21" s="5"/>
      <c r="H21" s="5">
        <f>SUM(H15:H20)/5</f>
        <v>0.78</v>
      </c>
      <c r="I21" s="15">
        <f>SUM(I15:I20)</f>
        <v>3.6456552913534637</v>
      </c>
      <c r="J21" s="15"/>
      <c r="K21" s="15"/>
      <c r="L21" s="13">
        <f>SUM(L15:L20)/5</f>
        <v>74</v>
      </c>
      <c r="M21" s="14">
        <f>SUM(M15:M20)/SUM(K15:K20)</f>
        <v>56.500364466750881</v>
      </c>
    </row>
    <row r="22" spans="2:13">
      <c r="B22" s="5"/>
      <c r="C22" s="5"/>
      <c r="D22" s="5"/>
      <c r="E22" s="5"/>
      <c r="F22" s="5"/>
      <c r="G22" s="5"/>
      <c r="H22" s="5"/>
      <c r="I22" s="5">
        <f>I21/5</f>
        <v>0.72913105827069269</v>
      </c>
      <c r="J22" s="15"/>
      <c r="K22" s="15"/>
      <c r="L22" s="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081D0-9A99-4BF0-86DD-30C10F371A76}">
  <dimension ref="A1:N33"/>
  <sheetViews>
    <sheetView rightToLeft="1" topLeftCell="A10" workbookViewId="0">
      <selection activeCell="A20" sqref="A20:G31"/>
    </sheetView>
  </sheetViews>
  <sheetFormatPr defaultRowHeight="14.4"/>
  <cols>
    <col min="1" max="1" width="10.21875" customWidth="1"/>
    <col min="2" max="2" width="12.77734375" customWidth="1"/>
    <col min="3" max="3" width="15.33203125" customWidth="1"/>
    <col min="4" max="4" width="12.44140625" customWidth="1"/>
    <col min="5" max="5" width="10.5546875" customWidth="1"/>
    <col min="8" max="8" width="10.5546875" bestFit="1" customWidth="1"/>
    <col min="9" max="9" width="15.6640625" customWidth="1"/>
    <col min="10" max="10" width="25" customWidth="1"/>
    <col min="11" max="11" width="20.6640625" customWidth="1"/>
  </cols>
  <sheetData>
    <row r="1" spans="1:14">
      <c r="A1" t="s">
        <v>245</v>
      </c>
    </row>
    <row r="3" spans="1:14">
      <c r="A3" s="14" t="s">
        <v>246</v>
      </c>
      <c r="B3" s="14" t="s">
        <v>247</v>
      </c>
      <c r="C3" s="14" t="s">
        <v>248</v>
      </c>
      <c r="D3" s="14" t="s">
        <v>155</v>
      </c>
      <c r="E3" s="14" t="s">
        <v>249</v>
      </c>
      <c r="F3" s="14" t="s">
        <v>250</v>
      </c>
      <c r="G3" s="14" t="s">
        <v>115</v>
      </c>
      <c r="H3" s="14" t="s">
        <v>251</v>
      </c>
      <c r="I3" s="14" t="s">
        <v>256</v>
      </c>
      <c r="J3" s="14" t="s">
        <v>257</v>
      </c>
      <c r="K3" s="14" t="s">
        <v>271</v>
      </c>
      <c r="L3" s="14" t="s">
        <v>259</v>
      </c>
    </row>
    <row r="4" spans="1:14">
      <c r="I4" t="s">
        <v>261</v>
      </c>
      <c r="K4" t="s">
        <v>272</v>
      </c>
      <c r="L4" t="s">
        <v>260</v>
      </c>
    </row>
    <row r="5" spans="1:14">
      <c r="L5" s="19" t="s">
        <v>317</v>
      </c>
    </row>
    <row r="8" spans="1:14">
      <c r="A8" s="27" t="s">
        <v>262</v>
      </c>
    </row>
    <row r="10" spans="1:14">
      <c r="A10" t="s">
        <v>252</v>
      </c>
    </row>
    <row r="11" spans="1:14">
      <c r="A11" s="14" t="s">
        <v>246</v>
      </c>
      <c r="B11" s="14" t="s">
        <v>247</v>
      </c>
      <c r="C11" s="14" t="s">
        <v>248</v>
      </c>
      <c r="D11" s="14" t="s">
        <v>155</v>
      </c>
      <c r="E11" s="14" t="s">
        <v>249</v>
      </c>
      <c r="F11" s="14" t="s">
        <v>250</v>
      </c>
      <c r="G11" s="14" t="s">
        <v>115</v>
      </c>
      <c r="H11" s="14" t="s">
        <v>251</v>
      </c>
      <c r="I11" s="14" t="s">
        <v>256</v>
      </c>
      <c r="J11" s="14" t="s">
        <v>257</v>
      </c>
      <c r="K11" s="14" t="s">
        <v>271</v>
      </c>
      <c r="L11" s="14" t="s">
        <v>259</v>
      </c>
    </row>
    <row r="12" spans="1:14">
      <c r="A12">
        <v>4541</v>
      </c>
      <c r="B12">
        <v>221</v>
      </c>
      <c r="C12">
        <v>844</v>
      </c>
      <c r="D12">
        <v>73</v>
      </c>
      <c r="E12" t="s">
        <v>253</v>
      </c>
      <c r="F12" t="s">
        <v>254</v>
      </c>
      <c r="G12" t="s">
        <v>255</v>
      </c>
      <c r="H12" s="29">
        <v>46075</v>
      </c>
      <c r="I12">
        <v>60</v>
      </c>
      <c r="J12">
        <v>50</v>
      </c>
      <c r="K12">
        <f>(J12+I12)/2</f>
        <v>55</v>
      </c>
      <c r="L12">
        <f>0.3*K12+0.7*D12</f>
        <v>67.599999999999994</v>
      </c>
      <c r="N12" t="s">
        <v>273</v>
      </c>
    </row>
    <row r="13" spans="1:14">
      <c r="D13">
        <v>90</v>
      </c>
      <c r="K13">
        <v>55</v>
      </c>
      <c r="L13">
        <f>0.3*K13+0.7*D13</f>
        <v>79.5</v>
      </c>
    </row>
    <row r="14" spans="1:14">
      <c r="D14">
        <v>90</v>
      </c>
      <c r="K14">
        <v>20</v>
      </c>
      <c r="L14">
        <f>0.3*K14+0.7*D14</f>
        <v>69</v>
      </c>
    </row>
    <row r="15" spans="1:14">
      <c r="D15">
        <v>100</v>
      </c>
      <c r="K15">
        <v>10</v>
      </c>
      <c r="L15">
        <f>0.3*K15+0.7*D15</f>
        <v>73</v>
      </c>
    </row>
    <row r="16" spans="1:14">
      <c r="D16">
        <v>70</v>
      </c>
      <c r="K16">
        <v>70</v>
      </c>
      <c r="L16">
        <f>0.3*K16+0.7*D16</f>
        <v>70</v>
      </c>
    </row>
    <row r="33" spans="1:1">
      <c r="A33" s="14"/>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87A18-0B10-40C8-BA24-F0DC1678FA48}">
  <dimension ref="A1:I17"/>
  <sheetViews>
    <sheetView rightToLeft="1" workbookViewId="0">
      <selection activeCell="C13" sqref="C13"/>
    </sheetView>
  </sheetViews>
  <sheetFormatPr defaultRowHeight="14.4"/>
  <cols>
    <col min="1" max="1" width="12" customWidth="1"/>
    <col min="3" max="3" width="20.88671875" customWidth="1"/>
    <col min="5" max="5" width="22.44140625" customWidth="1"/>
    <col min="8" max="8" width="32.88671875" customWidth="1"/>
  </cols>
  <sheetData>
    <row r="1" spans="1:9">
      <c r="A1" s="14" t="s">
        <v>196</v>
      </c>
      <c r="B1" s="5"/>
      <c r="C1" s="5"/>
      <c r="D1" s="5"/>
      <c r="E1" s="5"/>
      <c r="F1" s="26" t="s">
        <v>198</v>
      </c>
      <c r="G1" s="5"/>
    </row>
    <row r="2" spans="1:9">
      <c r="A2" s="5"/>
      <c r="B2" s="5"/>
      <c r="C2" s="5"/>
      <c r="D2" s="5"/>
      <c r="E2" s="5"/>
      <c r="G2" s="5"/>
    </row>
    <row r="3" spans="1:9">
      <c r="A3" s="20" t="s">
        <v>243</v>
      </c>
      <c r="B3" s="5"/>
      <c r="C3" s="5"/>
      <c r="D3" s="5"/>
      <c r="E3" s="5"/>
      <c r="F3" s="5"/>
      <c r="G3" s="5"/>
    </row>
    <row r="4" spans="1:9">
      <c r="F4" s="5"/>
      <c r="G4" s="5"/>
    </row>
    <row r="5" spans="1:9">
      <c r="A5" t="s">
        <v>224</v>
      </c>
      <c r="B5" s="5"/>
      <c r="C5" s="5"/>
      <c r="D5" s="5"/>
      <c r="E5" s="5"/>
      <c r="F5" s="5"/>
      <c r="G5" s="5"/>
    </row>
    <row r="6" spans="1:9" ht="43.2">
      <c r="A6" s="22" t="s">
        <v>89</v>
      </c>
      <c r="B6" s="22" t="s">
        <v>220</v>
      </c>
      <c r="C6" s="22" t="s">
        <v>88</v>
      </c>
      <c r="D6" s="22" t="s">
        <v>222</v>
      </c>
      <c r="E6" s="22" t="s">
        <v>221</v>
      </c>
      <c r="F6" s="22" t="s">
        <v>223</v>
      </c>
      <c r="G6" s="22" t="s">
        <v>225</v>
      </c>
      <c r="H6" s="22" t="s">
        <v>226</v>
      </c>
      <c r="I6" s="13" t="s">
        <v>238</v>
      </c>
    </row>
    <row r="7" spans="1:9">
      <c r="A7" s="5" t="s">
        <v>91</v>
      </c>
      <c r="B7" s="5" t="s">
        <v>228</v>
      </c>
      <c r="C7" s="5" t="s">
        <v>229</v>
      </c>
      <c r="D7" s="5">
        <v>95</v>
      </c>
      <c r="E7" s="5">
        <v>185</v>
      </c>
      <c r="F7" s="5">
        <v>1</v>
      </c>
      <c r="G7" s="5">
        <v>10</v>
      </c>
      <c r="H7">
        <f>D7*F7*G7</f>
        <v>950</v>
      </c>
      <c r="I7">
        <f>F7*D7</f>
        <v>95</v>
      </c>
    </row>
    <row r="8" spans="1:9">
      <c r="A8" t="s">
        <v>112</v>
      </c>
      <c r="B8" t="s">
        <v>228</v>
      </c>
      <c r="C8" t="s">
        <v>230</v>
      </c>
      <c r="D8">
        <v>80</v>
      </c>
      <c r="E8" t="s">
        <v>231</v>
      </c>
      <c r="F8">
        <v>1</v>
      </c>
      <c r="G8">
        <v>5</v>
      </c>
      <c r="H8">
        <f t="shared" ref="H8:H13" si="0">D8*F8*G8</f>
        <v>400</v>
      </c>
      <c r="I8">
        <f t="shared" ref="I8:I13" si="1">F8*D8</f>
        <v>80</v>
      </c>
    </row>
    <row r="9" spans="1:9">
      <c r="A9" t="s">
        <v>112</v>
      </c>
      <c r="B9" t="s">
        <v>232</v>
      </c>
      <c r="C9" t="s">
        <v>233</v>
      </c>
      <c r="D9">
        <v>85</v>
      </c>
      <c r="E9" t="s">
        <v>239</v>
      </c>
      <c r="F9">
        <v>1</v>
      </c>
      <c r="G9">
        <v>5</v>
      </c>
      <c r="H9">
        <f t="shared" si="0"/>
        <v>425</v>
      </c>
      <c r="I9">
        <f t="shared" si="1"/>
        <v>85</v>
      </c>
    </row>
    <row r="10" spans="1:9">
      <c r="A10" t="s">
        <v>166</v>
      </c>
      <c r="B10" t="s">
        <v>228</v>
      </c>
      <c r="C10" t="s">
        <v>165</v>
      </c>
      <c r="D10">
        <v>80</v>
      </c>
      <c r="E10" t="s">
        <v>165</v>
      </c>
      <c r="F10">
        <v>0.5</v>
      </c>
      <c r="G10">
        <v>10</v>
      </c>
      <c r="H10">
        <f t="shared" si="0"/>
        <v>400</v>
      </c>
      <c r="I10">
        <f t="shared" si="1"/>
        <v>40</v>
      </c>
    </row>
    <row r="11" spans="1:9">
      <c r="A11" t="s">
        <v>166</v>
      </c>
      <c r="B11" t="s">
        <v>232</v>
      </c>
      <c r="C11" t="s">
        <v>234</v>
      </c>
      <c r="D11">
        <v>50</v>
      </c>
      <c r="E11" t="s">
        <v>234</v>
      </c>
      <c r="F11">
        <v>0.8</v>
      </c>
      <c r="G11">
        <v>10</v>
      </c>
      <c r="H11">
        <f t="shared" si="0"/>
        <v>400</v>
      </c>
      <c r="I11">
        <f t="shared" si="1"/>
        <v>40</v>
      </c>
    </row>
    <row r="12" spans="1:9">
      <c r="A12" t="s">
        <v>227</v>
      </c>
      <c r="B12" t="s">
        <v>228</v>
      </c>
      <c r="C12" t="s">
        <v>237</v>
      </c>
      <c r="D12">
        <v>80</v>
      </c>
      <c r="E12" t="s">
        <v>237</v>
      </c>
      <c r="F12">
        <v>0.5</v>
      </c>
      <c r="G12">
        <v>10</v>
      </c>
      <c r="H12">
        <f t="shared" si="0"/>
        <v>400</v>
      </c>
      <c r="I12">
        <f t="shared" si="1"/>
        <v>40</v>
      </c>
    </row>
    <row r="13" spans="1:9">
      <c r="A13" t="s">
        <v>167</v>
      </c>
      <c r="B13" t="s">
        <v>232</v>
      </c>
      <c r="C13" t="s">
        <v>235</v>
      </c>
      <c r="D13">
        <v>30</v>
      </c>
      <c r="E13" t="s">
        <v>236</v>
      </c>
      <c r="F13">
        <v>0.6</v>
      </c>
      <c r="G13">
        <v>0</v>
      </c>
      <c r="H13">
        <f t="shared" si="0"/>
        <v>0</v>
      </c>
      <c r="I13">
        <f t="shared" si="1"/>
        <v>18</v>
      </c>
    </row>
    <row r="14" spans="1:9">
      <c r="D14">
        <f>SUM(D7:D13)</f>
        <v>500</v>
      </c>
      <c r="F14">
        <f>SUM(F7:F13)</f>
        <v>5.3999999999999995</v>
      </c>
      <c r="H14" s="25">
        <f>SUM(H7:H13)/I14</f>
        <v>7.474874371859296</v>
      </c>
      <c r="I14">
        <f>SUM(I7:I13)</f>
        <v>398</v>
      </c>
    </row>
    <row r="16" spans="1:9">
      <c r="A16" s="19" t="s">
        <v>240</v>
      </c>
    </row>
    <row r="17" spans="1:1">
      <c r="A17" s="20" t="s">
        <v>242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E8F68-8BA3-48DC-98C9-B07384CDF822}">
  <dimension ref="A1:E25"/>
  <sheetViews>
    <sheetView rightToLeft="1" workbookViewId="0">
      <selection activeCell="E14" sqref="E14"/>
    </sheetView>
  </sheetViews>
  <sheetFormatPr defaultRowHeight="14.4"/>
  <cols>
    <col min="3" max="3" width="13.44140625" customWidth="1"/>
    <col min="4" max="4" width="42.5546875" customWidth="1"/>
    <col min="5" max="5" width="62.6640625" customWidth="1"/>
  </cols>
  <sheetData>
    <row r="1" spans="1:5">
      <c r="A1" s="14" t="s">
        <v>286</v>
      </c>
      <c r="D1" t="s">
        <v>301</v>
      </c>
    </row>
    <row r="3" spans="1:5">
      <c r="C3" t="s">
        <v>89</v>
      </c>
      <c r="D3" s="14" t="s">
        <v>287</v>
      </c>
      <c r="E3" s="14" t="s">
        <v>136</v>
      </c>
    </row>
    <row r="4" spans="1:5">
      <c r="C4" s="14" t="s">
        <v>278</v>
      </c>
    </row>
    <row r="5" spans="1:5">
      <c r="C5" t="s">
        <v>99</v>
      </c>
      <c r="D5" t="s">
        <v>288</v>
      </c>
    </row>
    <row r="6" spans="1:5">
      <c r="C6" t="s">
        <v>103</v>
      </c>
      <c r="D6" t="s">
        <v>289</v>
      </c>
    </row>
    <row r="7" spans="1:5">
      <c r="C7" t="s">
        <v>101</v>
      </c>
      <c r="D7" t="s">
        <v>290</v>
      </c>
      <c r="E7" t="s">
        <v>302</v>
      </c>
    </row>
    <row r="8" spans="1:5" ht="28.8">
      <c r="C8" t="s">
        <v>108</v>
      </c>
      <c r="D8" t="s">
        <v>291</v>
      </c>
      <c r="E8" s="5" t="s">
        <v>292</v>
      </c>
    </row>
    <row r="9" spans="1:5">
      <c r="C9" t="s">
        <v>91</v>
      </c>
      <c r="D9" t="s">
        <v>290</v>
      </c>
    </row>
    <row r="10" spans="1:5" ht="43.2">
      <c r="C10" t="s">
        <v>92</v>
      </c>
      <c r="D10" s="5" t="s">
        <v>293</v>
      </c>
      <c r="E10" s="19" t="s">
        <v>294</v>
      </c>
    </row>
    <row r="12" spans="1:5">
      <c r="C12" s="14" t="s">
        <v>279</v>
      </c>
    </row>
    <row r="13" spans="1:5">
      <c r="C13" t="s">
        <v>274</v>
      </c>
      <c r="D13" t="s">
        <v>295</v>
      </c>
      <c r="E13" s="19" t="s">
        <v>296</v>
      </c>
    </row>
    <row r="14" spans="1:5">
      <c r="C14" t="s">
        <v>275</v>
      </c>
      <c r="D14" t="s">
        <v>297</v>
      </c>
      <c r="E14" t="s">
        <v>298</v>
      </c>
    </row>
    <row r="15" spans="1:5">
      <c r="C15" t="s">
        <v>276</v>
      </c>
      <c r="D15" t="s">
        <v>297</v>
      </c>
      <c r="E15" t="s">
        <v>299</v>
      </c>
    </row>
    <row r="16" spans="1:5">
      <c r="C16" t="s">
        <v>277</v>
      </c>
      <c r="D16" t="s">
        <v>300</v>
      </c>
    </row>
    <row r="19" spans="2:2">
      <c r="B19" t="s">
        <v>280</v>
      </c>
    </row>
    <row r="21" spans="2:2">
      <c r="B21" t="s">
        <v>281</v>
      </c>
    </row>
    <row r="24" spans="2:2">
      <c r="B24" t="s">
        <v>282</v>
      </c>
    </row>
    <row r="25" spans="2:2">
      <c r="B25" t="s">
        <v>283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פרטי משתמש</vt:lpstr>
      <vt:lpstr>מאפיינים - כללי</vt:lpstr>
      <vt:lpstr>מאפיינים חיצוניים - כללי</vt:lpstr>
      <vt:lpstr>משתמש - מאפיינים</vt:lpstr>
      <vt:lpstr>בניית ציונים</vt:lpstr>
      <vt:lpstr>אלגוריתם ציון פנימי</vt:lpstr>
      <vt:lpstr>אלגוריתם שידוכים</vt:lpstr>
      <vt:lpstr>אלגוריתם ציון חיצוני</vt:lpstr>
      <vt:lpstr>טופס הזנה</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חן חגג זנדברג</dc:creator>
  <cp:lastModifiedBy>חן חג'ג</cp:lastModifiedBy>
  <dcterms:created xsi:type="dcterms:W3CDTF">2015-06-05T18:19:34Z</dcterms:created>
  <dcterms:modified xsi:type="dcterms:W3CDTF">2026-03-31T15:51:39Z</dcterms:modified>
</cp:coreProperties>
</file>