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E0690435-A4A5-4E4E-A613-2EDB26F761A6}" xr6:coauthVersionLast="47" xr6:coauthVersionMax="47" xr10:uidLastSave="{00000000-0000-0000-0000-000000000000}"/>
  <bookViews>
    <workbookView xWindow="-96" yWindow="-96" windowWidth="23232" windowHeight="12432" activeTab="1" xr2:uid="{00000000-000D-0000-FFFF-FFFF00000000}"/>
  </bookViews>
  <sheets>
    <sheet name="Tasks Guidline" sheetId="12" r:id="rId1"/>
    <sheet name="Current Tasks" sheetId="16" r:id="rId2"/>
    <sheet name="פרטי משתמש" sheetId="3" r:id="rId3"/>
    <sheet name="מאפיינים - כללי" sheetId="1" r:id="rId4"/>
    <sheet name="internal traits" sheetId="14" r:id="rId5"/>
    <sheet name="מאפיינים חיצוניים - כללי" sheetId="5" r:id="rId6"/>
    <sheet name="משתמש - מאפיינים" sheetId="2" r:id="rId7"/>
    <sheet name="בניית ציונים" sheetId="9" r:id="rId8"/>
    <sheet name="אלגוריתם ציון פנימי" sheetId="4" r:id="rId9"/>
    <sheet name="אלגוריתם ציון חיצוני" sheetId="6" r:id="rId10"/>
    <sheet name="אלגוריתם שידוכים" sheetId="7" r:id="rId11"/>
    <sheet name="טופס הזנה" sheetId="8" r:id="rId12"/>
    <sheet name="טבלאות דאטה" sheetId="11" r:id="rId13"/>
    <sheet name="שאלות עבור הAI" sheetId="10" r:id="rId14"/>
    <sheet name="בדיקות" sheetId="13" r:id="rId15"/>
    <sheet name="שאלות לפי מלווה" sheetId="15"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<sst xmlns="http://schemas.openxmlformats.org/spreadsheetml/2006/main" count="1180" uniqueCount="700">
  <si>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</si>
  <si>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</si>
  <si>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</si>
  <si>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</si>
  <si>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</si>
  <si>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</si>
  <si>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</si>
  <si>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</si>
  <si>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</si>
  <si>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</si>
  <si>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</si>
  <si>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</si>
  <si>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</si>
  <si>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</si>
  <si>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</si>
  <si>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</si>
  <si>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</si>
  <si>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</si>
  <si>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</si>
  <si>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</si>
  <si>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</si>
  <si>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</si>
  <si>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</si>
  <si>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</si>
  <si>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</si>
  <si>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analytical_tendency</t>
  </si>
  <si>
    <t>אנליטיות</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</si>
  <si>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</si>
  <si>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</si>
  <si>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</si>
  <si>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</si>
  <si>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</si>
  <si>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</si>
  <si>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</si>
  <si>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</si>
  <si>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</si>
  <si>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</si>
  <si>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</si>
  <si>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</si>
  <si>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</si>
  <si>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</si>
  <si>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</si>
  <si>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</si>
  <si>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</si>
  <si>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</si>
  <si>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</si>
  <si>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</si>
  <si>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</si>
  <si>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</si>
  <si>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</si>
  <si>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</si>
  <si>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</si>
  <si>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</si>
  <si>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</si>
  <si>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</si>
  <si>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</si>
  <si>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</si>
  <si>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</si>
  <si>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</si>
  <si>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</si>
  <si>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</si>
  <si>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</si>
  <si>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</si>
  <si>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</si>
  <si>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</si>
  <si>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</si>
  <si>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</si>
  <si>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</si>
  <si>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</si>
  <si>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</si>
  <si>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</si>
  <si>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</si>
  <si>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</si>
  <si>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</si>
  <si>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</si>
  <si>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</si>
  <si>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</si>
  <si>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</si>
  <si>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</si>
  <si>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</si>
  <si>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</si>
  <si>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</si>
  <si>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</si>
  <si>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</si>
  <si>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</si>
  <si>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</si>
  <si>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</si>
  <si>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</si>
  <si>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</si>
  <si>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</si>
  <si>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</si>
  <si>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</si>
  <si>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</si>
  <si>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</si>
  <si>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</si>
  <si>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</si>
  <si>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</si>
  <si>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</si>
  <si>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</si>
  <si>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</si>
  <si>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</si>
  <si>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</si>
  <si>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</si>
  <si>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</si>
  <si>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</si>
  <si>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</si>
  <si>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</si>
  <si>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</si>
  <si>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</si>
  <si>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</si>
  <si>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</si>
  <si>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</si>
  <si>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</si>
  <si>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</si>
  <si>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</si>
  <si>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</si>
  <si>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</si>
  <si>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</si>
  <si>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</si>
  <si>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</si>
  <si>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</si>
  <si>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</si>
  <si>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</si>
  <si>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</si>
  <si>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</si>
  <si>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</si>
  <si>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</si>
  <si>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</si>
  <si>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</si>
  <si>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</si>
  <si>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</si>
  <si>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</si>
  <si>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</si>
  <si>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</si>
  <si>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</si>
  <si>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</si>
  <si>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</si>
  <si>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</si>
  <si>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</si>
  <si>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</si>
  <si>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</si>
  <si>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</si>
  <si>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</si>
  <si>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</si>
  <si>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</si>
  <si>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</si>
  <si>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</si>
  <si>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</si>
  <si>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</si>
  <si>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</si>
  <si>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</si>
  <si>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</si>
  <si>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</si>
  <si>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</si>
  <si>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</si>
  <si>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</si>
  <si>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</si>
  <si>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</si>
  <si>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</si>
  <si>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</si>
  <si>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</si>
  <si>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</si>
  <si>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</si>
  <si>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</si>
  <si>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</si>
  <si>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</si>
  <si>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</si>
  <si>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</si>
  <si>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</si>
  <si>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</si>
  <si>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</si>
  <si>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</si>
  <si>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</si>
  <si>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</si>
  <si>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</si>
  <si>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</si>
  <si>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</si>
  <si>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</si>
  <si>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</si>
  <si>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</si>
  <si>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</si>
  <si>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</si>
  <si>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</si>
  <si>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</si>
  <si>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</si>
  <si>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</si>
  <si>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</si>
  <si>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</si>
  <si>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</si>
  <si>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</si>
  <si>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</si>
  <si>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</si>
  <si>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</si>
  <si>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</si>
  <si>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</si>
  <si>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</si>
  <si>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</si>
  <si>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</si>
  <si>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</si>
  <si>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</si>
  <si>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</si>
  <si>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</si>
  <si>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</si>
  <si>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</si>
  <si>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</si>
  <si>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</si>
  <si>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</si>
  <si>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</si>
  <si>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</si>
  <si>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</si>
  <si>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</si>
  <si>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</si>
  <si>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</si>
  <si>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</si>
  <si>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</si>
  <si>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</si>
  <si>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</si>
  <si>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</si>
  <si>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</si>
  <si>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</si>
  <si>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</si>
  <si>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</si>
  <si>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</si>
  <si>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</si>
  <si>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</si>
  <si>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</si>
  <si>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</si>
  <si>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</si>
  <si>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</si>
  <si>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</si>
  <si>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</si>
  <si>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</si>
  <si>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</si>
  <si>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</si>
  <si>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</si>
  <si>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</si>
  <si>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</si>
  <si>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</si>
  <si>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</si>
  <si>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</si>
  <si>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</si>
  <si>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</si>
  <si>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</si>
  <si>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</si>
  <si>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</si>
  <si>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</si>
  <si>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</si>
  <si>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</si>
  <si>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</si>
  <si>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</si>
  <si>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</si>
  <si>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</si>
  <si>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</si>
  <si>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</si>
  <si>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</si>
  <si>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</si>
  <si>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</si>
  <si>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</si>
  <si>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</si>
  <si>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</si>
  <si>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</si>
  <si>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</si>
  <si>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</si>
  <si>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</si>
  <si>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</si>
  <si>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</si>
  <si>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</si>
  <si>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</si>
  <si>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</si>
  <si>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</si>
  <si>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</si>
  <si>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</si>
  <si>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</si>
  <si>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</si>
  <si>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</si>
  <si>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</si>
  <si>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</si>
  <si>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</si>
  <si>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</si>
  <si>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</si>
  <si>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</si>
  <si>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</si>
  <si>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</si>
  <si>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</si>
  <si>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</si>
  <si>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</si>
  <si>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</si>
  <si>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</si>
  <si>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</si>
  <si>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</si>
  <si>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</si>
  <si>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</si>
  <si>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</si>
  <si>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</si>
  <si>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</si>
  <si>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</si>
  <si>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</si>
  <si>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</si>
  <si>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</si>
  <si>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</si>
  <si>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</si>
  <si>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</si>
  <si>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</si>
  <si>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</si>
  <si>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</si>
  <si>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</si>
  <si>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</si>
  <si>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</si>
  <si>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</si>
  <si>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</si>
  <si>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</si>
  <si>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</si>
  <si>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</si>
  <si>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</si>
  <si>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</si>
  <si>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</si>
  <si>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</si>
  <si>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</si>
  <si>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</si>
  <si>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</si>
  <si>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</si>
  <si>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</si>
  <si>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</si>
  <si>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</si>
  <si>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</si>
  <si>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</si>
  <si>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</si>
  <si>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</si>
  <si>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</si>
  <si>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</si>
  <si>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</si>
  <si>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</si>
  <si>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</si>
  <si>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</si>
  <si>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</si>
  <si>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</si>
  <si>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</si>
  <si>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</si>
  <si>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</si>
  <si>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</si>
  <si>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</si>
  <si>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</si>
  <si>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</si>
  <si>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</si>
  <si>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</si>
  <si>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</si>
  <si>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</si>
  <si>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</si>
  <si>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</si>
  <si>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</si>
  <si>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</si>
  <si>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</si>
  <si>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</si>
  <si>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</si>
  <si>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</si>
  <si>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</si>
  <si>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</si>
  <si>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</si>
  <si>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</si>
  <si>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</si>
  <si>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</si>
  <si>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</si>
  <si>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</si>
  <si>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</si>
  <si>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</si>
  <si>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</si>
  <si>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</si>
  <si>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</si>
  <si>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</si>
  <si>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</si>
  <si>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</si>
  <si>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</si>
  <si>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</si>
  <si>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</si>
  <si>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</si>
  <si>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</si>
  <si>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</si>
  <si>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</si>
  <si>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</si>
  <si>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</si>
  <si>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</si>
  <si>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</si>
  <si>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</si>
  <si>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</si>
  <si>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</si>
  <si>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</si>
  <si>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</si>
  <si>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</si>
  <si>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</si>
  <si>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</si>
  <si>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</si>
  <si>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</si>
  <si>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</si>
  <si>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</si>
  <si>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</si>
  <si>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</si>
  <si>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</si>
  <si>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</si>
  <si>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</si>
  <si>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</si>
  <si>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</si>
  <si>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</si>
  <si>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</si>
  <si>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</si>
  <si>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</si>
  <si>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</si>
  <si>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</si>
  <si>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</si>
  <si>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</si>
  <si>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</si>
  <si>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</si>
  <si>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</si>
  <si>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</si>
  <si>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</si>
  <si>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</si>
  <si>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</si>
  <si>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</si>
  <si>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</si>
  <si>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</si>
  <si>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</si>
  <si>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</si>
  <si>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</si>
  <si>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</si>
  <si>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</si>
  <si>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</si>
  <si>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</si>
  <si>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</si>
  <si>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</si>
  <si>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</si>
  <si>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</si>
  <si>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</si>
  <si>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</si>
  <si>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</si>
  <si>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</si>
  <si>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</si>
  <si>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</si>
  <si>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</si>
  <si>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</si>
  <si>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</si>
  <si>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</si>
  <si>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</si>
  <si>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</si>
  <si>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</si>
  <si>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</si>
  <si>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הערכת אינטליגנציה רגשית.
מטרת התכונה:
להעריך עד כמה המשתמש מבין רגשות של אחרים ומנהל אינטראקציות רגשיות בצורה בוגרת.
אין להתייחס למודעות עצמית (נמדדת בנפרד).
---
איך להעריך:
התבסס על:
- הבנת רגשות של אחרים (אמפתיה)
- תגובות רגשיות מותאמות (לא קיצוניות / לא אדישות)
- יכולת להבין מצבים בין-אישיים
- מורכבות רגשית (לא שחור/לבן)
---
הבחנה חשובה:
נחמדות / חום / חברותיות ≠ אינטליגנציה רגשית
---
סקאלה:
0–20:
חוסר הבנה של רגשות אחרים, תגובות קיצוניות / לא מותאמות
20–40:
הבנה נמוכה, תגובות רגשיות שטחיות
40–60:
ממוצע — מבין מצבים בסיסיים
60–75:
טוב — אמפתיה ותגובות מותאמות
75–90:
גבוה — הבנה עמוקה של אנשים ומצבים רגשיים
90–100:
גבוה מאוד — הבנה מורכבת ועדינה של רגשות ודינמיקות
---
חוקים:
- אל תבלבל בין נחמדות לאינטליגנציה רגשית
- אם אין שיח רגשי → תן ציון עם confidence נמוך
- אם יש הבנה רגשית מורכבת → תן ציון גבוה בהתאם
- אם המשתמש מדבר על מערכות יחסים או קונפליקטים בצורה עמוקה → העלה את הציון</t>
  </si>
  <si>
    <t>הערכת סחיות (מידת מיינסטרים וקונפורמיות).
מטרת התכונה:
להעריך עד כמה המשתמש נוטה למיינסטרים, לנורמות מקובלות ולגישה "רגילה" לחיים, לעומת ייחודיות, פתיחות וסטייה מהנורמה.
---
איך להעריך:
התבסס על: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
---
הגדרה:
סחיות = שילוב של מיינסטרים + קונפורמיות + גישה נורמטיבית לחיים
---
סקאלה:
0–20:
מאוד לא סחי — ייחודי, לא שגרתי, פתוח, לא הולך עם העדר
20–40:
די לא סחי — יש ייחודיות ופתיחות, לא מאוד נורמטיבי
40–60:
אמצע — שילוב בין מיינסטרים לייחודיות
60–80:
די סחי — נוטה למיינסטרים, גישה די נורמטיבית
80–100:
מאוד סחי — מיינסטרים מאוד, דעות שגרתיות, גישה קונבנציונלית לחיים
---
חוקים:
- יש להעריך לפי הקשר תרבותי ישראלי
- תחביבים בלבד לא מספיקים — חשוב גם גישה לחיים ודעות
- אם אין מספיק מידע → תן ציון עם confidence נמוך
- אם המשתמש מציג חשיבה עצמאית או חריגה → הורד ציון
- אם המשתמש מדגיש "נורמלי", "רגיל", "מסודר", "קלאסי" → העלה ציון
- אם המשתמש מבטא משיכה לשונה, חריג או לא שגרתי → הורד ציון</t>
  </si>
  <si>
    <t>הערכת יציבות רגשית.
מטרת התכונה:
להעריך עד כמה עולמו הרגשי של המשתמש יציב ומאוזן, לעומת נטייה למצבי רוח קיצוניים, רגשות שליליים חזקים, חרדה, דכדוך, דרמה רגשית או סערות נפשיות.
התכונה הזו נועדה לשקף לא רק שליטה עצמית, אלא גם את רמת התנודתיות והעומס הרגשי הכללי של האדם.
---
איך להעריך:
התבסס על:
- נטייה למצבי רוח קיצוניים או משתנים
- נטייה לרגשות שליליים חזקים (דכדוך, פסימיות, כובד, ייאוש)
- נטייה לחרדה, לחץ, overthinking או חוסר שקט נפשי
- דרמה רגשית / תגובתיות גבוהה
- עד כמה העולם הרגשי מרגיש יציב וקל לעומת סוער וכבד
---
הבחנות חשובות:
- רגישות ≠ חוסר יציבות  
  אדם יכול להיות רגיש אך יציב.
- עומק רגשי ≠ חוסר יציבות  
  אדם עמוק רגשית לא בהכרח נוטה לדרמה, דיכאון או קיצוניות.
- כאן חשוב במיוחד לזהות נטייה לקצוות רגשיים, כובד רגשי, חרדתיות, ודפוסים של דרמה או תנודתיות.
---
סקאלה:
0–20:
מאוד לא יציב — סערות רגשיות, דרמה גבוהה, תנודתיות חזקה, הרבה כובד או קיצוניות
20–40:
די לא יציב — נטייה בולטת למצבי רוח שליליים, חרדה, דרמה או תגובות לא מאוזנות
40–60:
בינוני — יש סימנים מסוימים לתנודתיות, שליליות או עומס רגשי, אבל לא בצורה קיצונית
60–75:
די יציב — רגשות יחסית מאוזנים, מעט דרמה, מעט תנודתיות
75–90:
יציב מאוד — רגוע, מאוזן, לא נוטה למצבי קיצון או כובד רגשי
90–100:
יציבות גבוהה מאוד — שלווה, עקביות רגשית, מעט מאוד חרדה / דרמה / שליליות
---
חוקים:
- אם יש ביטויים של חרדה, דיכאון, כובד רגשי, דרמה או תנודתיות → הורד ציון
- אם המשתמש מציג עולם רגשי רגוע, מאוזן וקל יחסית → העלה ציון
- אם המשתמש מדבר על קונפליקטים, משברים או רגשות קשים — השתמש בזה כסיגנל מרכזי
- אם אין מידע רגשי ברור → תן ציון עם confidence נמוך
- אל תבלבל בין רגישות או עומק רגשי לבין חוסר יציבות</t>
  </si>
  <si>
    <t>הערכת משפחתיות כלפי משפחת המוצא.
מטרת התכונה:
להעריך עד כמה משפחת המוצא של המשתמש (ובעיקר ההורים והמשפחה הקרובה) תופסת מקום מרכזי, נוכח ומשפיע בחייו.
לא מדובר ברצון להקים משפחה וילדים משלו, אלא במידת הקרבה, המעורבות והמרכזיות של משפחת המוצא בחיים בפועל.
---
איך להעריך:
התבסס על:
- מידת הקרבה להורים ולמשפחה הקרובה
- תדירות המפגשים / הקשר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
---
הבחנות חשובות:
- לא למדוד כאן רצון למשפחה וילדים בעתיד
- לא למדוד כאן רק אהבה או כבוד למשפחה
- מה שחשוב הוא עד כמה משפחת המוצא היא כוח נוכח, משמעותי ומשפיע בחיים
---
סקאלה:
0–20:
מעט משפחתי — קשר מועט / מרוחק, רצון ברור לחיים נפרדים מהמשפחה
20–40:
די לא משפחתי — המשפחה קיימת אך לא מאוד נוכחת או מרכזית
40–60:
בינוני — קשר טוב, אך המשפחה לא מאוד דומיננטית
60–80:
די משפחתי — קשר קרוב, המשפחה נוכחת ומשמעותית בחיים
80–100:
מאוד משפחתי — המשפחה מאוד מרכזית, הרבה קשר/מפגשים, השפעה ברורה על אורח החיים
---
חוקים:
- אם המשתמש מתאר הרבה מפגשים משפחתיים, קשר הדוק או מעורבות גבוהה של המשפחה → העלה ציון
- אם המשתמש מתאר צורך במרחק, עצמאות או תחושת כבדות סביב המשפחה → הורד ציון
- אם יש רק אזכור כללי של "אני אוהב את המשפחה שלי" בלי מידע על נוכחות בפועל → תן ציון מתון עם confidence נמוך
- יש להעריך לא רק רגש, אלא גם את המקום המעשי של המשפחה בחיי היומיום</t>
  </si>
  <si>
    <t>הערכת נהנתנות (אהבה לבילויים וחוויות).
מטרת התכונה:
להעריך עד כמה המשתמש נהנה, מחפש ומעריך חוויות מהנות בחיים — כמו בילויים, מסעדות, טיולים, יציאות, וחוויות חדשות — ועד כמה זה חלק מרכזי מהערכים ואורח החיים שלו.
---
איך להעריך:
התבסס על:
- עד כמה חשוב לו "ליהנות מהחיים"
- רצון לחוויות (טיולים, אוכל, בילויים, יציאות)
- עד כמה הוא מחפש אקטיבית חוויות ולא רק זורם אם יש
- עד כמה זה בא לידי ביטוי בפועל (ולא רק בדיבור)
- תיאורים של אורח חיים עשיר בחוויות לעומת שגרה שקטה וביתית
---
הבחנות חשובות:
- לא מדובר במסיבות דווקא — זה כולל כל סוג של בילוי וחוויה
- לא למדוד כאן טיפוס מסיבתי
- לא למדוד כאן מוחצנות — אדם יכול להיות מופנם ונהנתן
- לא למדוד כאן רק אמירות כלליות — חשוב גם ביטוי בפועל
---
סקאלה:
0–20:
לא נהנתן — כמעט ולא מחפש בילויים או חוויות, נוטה לשגרה ביתית
20–40:
די לא נהנתן — מעט עניין בבילויים וחוויות
40–60:
בינוני — נהנה לפעמים, אבל זה לא מרכזי בחיים
60–80:
די נהנתן — אוהב חוויות ובילויים כחלק משמעותי מהחיים
80–100:
מאוד נהנתן — מחפש אקטיבית חוויות, בילויים והנאה, זה ערך מרכזי באורח החיים
---
חוקים:
- אם המשתמש מדגיש רצון ליהנות, לבלות, לחוות → העלה ציון
- אם המשתמש מתאר אורח חיים פעיל של בילויים, טיולים, אוכל וכו' → העלה ציון משמעותית
- אם המשתמש מתאר אדישות או חוסר עניין בבילויים → הורד ציון
- אם מדובר רק באמירה כללית ("אוהב ליהנות") בלי ביטוי בפועל → תן ציון בינוני עם confidence נמוך
- אם המשתמש מחפש חוויות אקטיבית ולא רק זורם → העלה ציון</t>
  </si>
  <si>
    <t>הערכת מופנמות / מוחצנות כסגנון ביטוי.
מטרת התכונה:
להעריך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
איך להעריך:
התבסס על: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
---
הבחנות חשובות:
- זה לא מודד צורך חברתי — אדם יכול להיות מופנם מאוד ועדיין מאוד אוהב אנשים  
- זה לא מודד נהנתנות  
- זה לא מודד טיפוס מסיבתי  
- זה לא מודד אינטליגנציה חברתית  
- מדובר בסגנון נוכחות וביטוי בלבד
---
סקאלה:
0–20:
מופנם מאוד — שקט, מאופק, לא תופס מקום, ביטוי מינימלי
20–40:
די מופנם — רגוע, פחות אקספרסיבי, נוכחות עדינה
40–60:
אמצע — שילוב בין שקט לאקספרסיביות
60–80:
די מוחצן — אקספרסיבי, נוכח, מבטא את עצמו בקלות
80–100:
מוחצן מאוד — בולט, דומיננטי, "מורגש", ווליום גבוה
---
חוקים:
- אם המשתמש נשמע שקט, מאופק או מינימליסטי בביטוי → הורד ציון
- אם המשתמש נשמע אקספרסיבי, פתוח, יוזם ודומיננטי → העלה ציון
- לא להסיק מוחצנות רק מזה שהוא אוהב אנשים או בילויים
- אם אין מספיק מידע → תן ציון עם confidence נמוך</t>
  </si>
  <si>
    <t>הערכת נטייה אנליטית.
מטרת התכונה:
להעריך עד כמה המשתמש נוטה לחשיבה אנליטית — כלומר פירוק, ניתוח והבנה לוגית של דברים — לעומת חשיבה אינטואיטיבית או זורמת.
---
איך להעריך:
התבסס על:
- האם המשתמש מפרק רעיונות ומסביר אותם
- שימוש בהיגיון, מבנה או שלבים
- נטייה לנתח מצבים ולא רק לתאר אותם
- סגנון חשיבה מסודר לעומת אינטואיטיבי/זורם
---
הבחנות חשובות:
- לא למדוד כאן אינטליגנציה כללית
- אדם יכול להיות חכם אך לא אנליטי
- אדם יכול להיות אנליטי בלי להיות עמוק רגשית
---
סקאלה:
0–20:
לא אנליטי — חשיבה אינטואיטיבית, זורמת, ללא ניתוח
20–40:
מעט אנליטי — יש מעט מבנה אך בעיקר אינטואיציה
40–60:
בינוני — שילוב בין ניתוח לאינטואיציה
60–80:
די אנליטי — נוטה לפרק, להסביר ולחשוב בצורה לוגית
80–100:
מאוד אנליטי — מפרק, מנתח, חושב בצורה מבנית ועקבית
---
חוקים:
- אם המשתמש מסביר דברים בשלבים או מפרק רעיונות → העלה ציון
- אם החשיבה בעיקר אינטואיטיבית/תחושתית → הורד ציון
- אם אין מספיק מידע → תן ציון עם confidence נמוך</t>
  </si>
  <si>
    <t>אינטלקטואליות</t>
  </si>
  <si>
    <t>הערכת אינטלקטואליות.
מטרת התכונה:
להעריך עד כמה המשתמש נוטה לשיח רעיוני, עומק מחשבתי והתעניינות בנושאים מופשטים, לעומת שיח פרקטי, יומיומי ופשוט.
---
איך להעריך:
התבסס על:
- רמת העומק של השיח
- עיסוק ברעיונות, תפיסות או ניתוחים
- סגנון ביטוי (עשיר, מורכב, מופשט לעומת פשוט וישיר)
- נטייה לשיח פילוסופי, פסיכולוגי או רעיוני
- שימוש בהבחנות, הסברים ורמות חשיבה שונות
---
הבחנות חשובות:
- לא למדוד כאן אינטליגנציה בלבד  
  אדם יכול להיות חכם אך לא אינטלקטואלי  
- לא למדוד כאן רק אנליטיות  
  אנליטיות = פירוק  
  אינטלקטואליות = עומק ושיח רעיוני  
- לא למדוד רק ניסוח טכני (עברית יפה)  
  אלא עומק וסוג החשיבה
---
סקאלה:
0–20:
לא אינטלקטואלי — שיח פשוט, פרקטי, ללא עומק רעיוני
20–40:
מעט אינטלקטואלי — יש מעט עומק, אבל לרוב שיח יומיומי
40–60:
בינוני — שילוב בין שיח פרקטי לרעיוני
60–80:
די אינטלקטואלי — עיסוק ברעיונות, עומק ושיח מורכב
80–100:
מאוד אינטלקטואלי — עומק גבוה, שיח מופשט, הבחנות מורכבות
---
חוקים:
- אם השיח כולל רעיונות, הבחנות ועומק → העלה ציון
- אם השיח פרקטי בלבד → הורד ציון
- אם יש ניסוח יפה אבל ללא עומק → לא לתת ציון גבוה
- אם אין מספיק מידע → תן ציון עם confidence נמוך</t>
  </si>
  <si>
    <t>הערכת רצינות לגבי החיים.
מטרת התכונה:
להעריך עד כמה המשתמש ניגש לחיים בצורה אחראית, ממוקדת ומחויבת — עם שאיפות, מסגרת ועשייה — לעומת גישה קלילה, זורמת ופחות מחויבת.
לא מדובר ברצינות בזוגיות, אלא בגישה כללית לחיים.
---
איך להעריך:
התבסס על:
- רמת האחריות והמחויבות (עבודה, סדר, התנהלות)
- קיומן של מטרות או שאיפות ברורות
- עד כמה המשתמש שם דגש על "לעשות מה שצריך"
- התייחסות לחיים כמשהו שצריך לנהל ולהתקדם בו
- לעומת גישה זורמת, קלילה, פחות מתוכננת או פחות מחויבת
---
הבחנות חשובות:
- לא מדובר בכובד או חוסר הומור  
- אדם יכול להיות קליל ונעים ועדיין מאוד רציני לגבי החיים  
- לא למדוד כאן אינטליגנציה או עומק  
- לא למדוד נהנתנות  
---
סקאלה:
0–20:
לא רציני — גישה מאוד זורמת, ללא מסגרת, מעט אחריות או שאיפות
20–40:
די לא רציני — פחות ממוקד, פחות מחויב, גישה קלילה לחיים
40–60:
בינוני — שילוב בין קלילות לאחריות
60–80:
די רציני — אחראי, עם כיוון ושאיפות, מתנהל בצורה מסודרת
80–100:
מאוד רציני — מחויב מאוד, ממוקד, עם מטרות ברורות ודגש חזק על עשייה והתקדמות
---
חוקים:
- אם המשתמש מדבר על מטרות, קריירה, התקדמות או אחריות → העלה ציון
- אם המשתמש מתאר גישה זורמת מאוד או חוסר כיוון → הורד ציון
- אם יש גם קלילות וגם אחריות → שמור על ציון בינוני-גבוה בהתאם לאיזון
- אם אין מספיק מידע → תן ציון עם confidence נמוך</t>
  </si>
  <si>
    <t>הערכת רמת דתיות.
מטרת התכונה:
להעריך עד כמה המשתמש דתי או חילוני, כלומר עד כמה הדת והמסורת מהוות חלק מרכזי באורח החיים, באמונות ובהתנהלות היומיומית שלו.
---
איך להעריך:
התבסס על:
- שמירת שבת (סיגנל חזק מאוד)
- שמירת כשרות / מנהגים דתיים
- אמונה והזדהות כדתית / חילונית / מסורתית
- עד כמה הדת משפיעה על אורח החיים בפועל
- תיאורים של אורח חיים דתי לעומת חילוני
---
הבחנות חשובות:
- שמירת שבת היא אינדיקציה מרכזית לדתיות גבוהה
- לא להסתמך רק על הגדרה מילולית ("אני מסורתי") אלא גם על אורח החיים בפועל
- יש להעריך את הרצף בין חילוני, מסורתי ודתי
---
סקאלה:
0–20:
חילוני לגמרי — אין כמעט קשר לדת או למסורת
20–40:
חילוני עם נגיעה מסורתית קלה
40–60:
מסורתי — יש חיבור מסוים למסורת, אך לא מחויבות מלאה
60–80:
מסורתי-דתי — חלק מהפרקטיקות הדתיות כן מתקיימות
80–90:
דתי — אורח חיים דתי ברור
90–100:
דתי מאוד — שמירת שבת, אורח חיים דתי מלא
---
חוקים:
- אם יש שמירת שבת → הציון צריך להיות גבוה (90+)
- אם המשתמש מתאר אורח חיים חילוני → הציון צריך להיות נמוך
- אם יש סתירה בין הגדרה להתנהגות → לתת עדיפות להתנהגות בפועל
- אם אין מספיק מידע → תן ציון עם confidence נמוך</t>
  </si>
  <si>
    <t>הערכת חשיבות והזדהות עם הומור.
מטרת התכונה:
להעריך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
איך להעריך:
התבסס על:
- אמירות ישירות ("יש לי חוש הומור", "אני מאוד ציני", "חשוב לי הומור")
- הדגשה של הומור כמרכיב חשוב בזוגיות
- אזכורים חוזרים של הומור או קלילות
- סגנון ביטוי שמעיד על קלילות או משחקיות (כאשר ברור)
---
הבחנות חשובות:
- לא לנסות להעריך בפועל עד כמה המשתמש מצחיק  
- להתבסס בעיקר על הצהרות, ערכים ודגש שהמשתמש נותן להומור  
- "קלילות" נמדדת בתכונות אחרות — כאן הפוקוס הוא על הומור
---
סקאלה:
0–20:
אין התייחסות להומור, לא נראה חשוב
20–40:
מעט חשיבות להומור
40–60:
בינוני — הומור קיים אך לא מרכזי
60–80:
די חשוב — הומור הוא חלק משמעותי
80–100:
מאוד חשוב — הומור הוא ערך מרכזי וזהותי
---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
- אם אין אזכור כלל → שמור על ציון נמוך עם confidence נמוך</t>
  </si>
  <si>
    <t>הערכת מעורבות פוליטית.
מטרת התכונה:
להעריך עד כמה פוליטיקה מהווה חלק מרכזי ומשמעותי בחיי המשתמש — ברמת העניין, המעורבות והחשיבות שהוא נותן לנושא.
---
איך להעריך:
התבסס על:
- עד כמה המשתמש מתעניין או עוסק בפוליטיקה
- עד כמה פוליטיקה היא חלק מהשיח שלו
- עד כמה זה חשוב לו או מגדיר אותו
- עד כמה הוא מבטא דעות פוליטיות באופן ברור
- עד כמה הנושא תופס מקום בחיים ובזהות שלו
---
הבחנות חשובות:
- לא למדוד כאן שמאל/ימין או עמדות ספציפיות
- ניתן לקחת בחשבון גם נוקשות או עוצמת הדעות, אך רק כחלק מהמעורבות הכוללת
- אדם יכול להחזיק בדעות אך לא להיות מעורב — וזה צריך לקבל ציון נמוך יותר
---
סקאלה:
0–20:
לא מעורב — כמעט ואין עניין בפוליטיקה
20–40:
מעורבות נמוכה — מעט עניין, לא מרכזי
40–60:
בינוני — יש עניין, אך לא דומיננטי
60–80:
מעורב — פוליטיקה היא חלק משמעותי מהשיח והעניין
80–100:
מעורב מאוד — פוליטיקה היא חלק מרכזי בזהות ובחיים
---
חוקים:
- אם המשתמש מדגיש חוסר עניין בפוליטיקה → הורד ציון
- אם המשתמש מדבר על פוליטיקה כחלק מרכזי מהחיים → העלה ציון
- אם יש דעות חזקות אך מעט עיסוק בפועל → תן ציון בינוני
- אם אין מספיק מידע → תן ציון עם confidence נמוך</t>
  </si>
  <si>
    <t>הערכת מעורבות חברתית (אקטיביזם).
מטרת התכונה:
להעריך עד כמה המשתמש מעורב, אקטיבי ופועל בנושאים חברתיים — כמו התנדבות, פעילות חברתית, מחאה או עיסוק בתיקון חברתי — ועד כמה זה חלק מהזהות וסגנון החיים שלו.
---
איך להעריך:
התבסס על:
- מעורבות בפעילות חברתית (התנדבות, ארגונים, יוזמות)
- השתתפות במחאות, הפגנות או עשייה ציבורית
- עיסוק פעיל בנושאים חברתיים (לא רק דעה)
- עד כמה זה חלק מהזהות והחיים
- עד כמה אכפת לו מנושאים חברתיים באופן שמוביל לפעולה
---
הבחנות חשובות:
- לא מדובר רק בדעות פוליטיות
- אדם יכול להיות פוליטי אך לא מעורב חברתית
- התכונה מודדת עשייה ומעורבות בפועל, לא רק עניין או דעה
- אכפתיות ללא פעולה → ציון בינוני בלבד
---
סקאלה:
0–20:
לא מעורב — אין עניין או עשייה חברתית
20–40:
מעורבות נמוכה — אכפתיות כללית אך ללא עשייה
40–60:
בינוני — עניין מסוים ולעיתים מעורבות
60–80:
מעורב — משתתף או פועל באופן די קבוע
80–100:
מאוד מעורב — אקטיביזם ברור, עשייה חברתית כחלק מהזהות והחיים
---
חוקים:
- אם המשתמש מתאר עשייה בפועל (התנדבות, הפגנות וכו') → העלה ציון משמעותית
- אם יש רק עניין או דעה ללא פעולה → תן ציון בינוני
- אם המשתמש מדגיש אדישות לנושאים חברתיים → הורד ציון
- אם אין מספיק מידע → תן ציון עם confidence נמוך</t>
  </si>
  <si>
    <t>הערכת מודעות עצמית.
מטרת התכונה:
להעריך עד כמה המשתמש מבין את עצמו — רגשות, דפוסים, חוזקות וחולשות — ויכול לדבר עליהם בצורה מודעת.
---
איך להעריך:
התבסס על:
- יכולת לתאר את עצמו באופן מדויק
- מודעות לדפוסים, חוזקות או חולשות
- רפלקציה על חוויות או התנהגות
---
הבחנות חשובות:
- לא למדוד כאן אינטליגנציה או ניסוח טוב
- ניסוח יפה ≠ מודעות עצמית
- ניתוח כללי ≠ הבנה של עצמי
---
חוקים:
- אם אין רפלקציה אישית ברורה → לא לתת ציון גבוה
- אם יש תיאור עצמי עמוק או מודע → העלה ציון
- אם אין מספיק מידע → תן ציון עם confidence נמוך</t>
  </si>
  <si>
    <t>הערכת גישה חיובית (אופטימיות).
מטרת התכונה:
להעריך עד כמה המשתמש נוטה לגישה חיובית, אופטימית וקלילה לחיים, לעומת גישה שלילית, ביקורתית או פסימית.
---
איך להעריך:
התבסס על:
- סגנון כללי של התבטאות (חיובי לעומת שלילי)
- נטייה לראות את הטוב או להתמקד בקושי
- גישה למצבים (אופטימית לעומת פסימית)
- טון רגשי כללי — קליל/חיובי לעומת כבד/ביקורתי
---
הבחנות חשובות:
- לא מדובר ביציבות רגשית  
  אדם יכול להיות יציב אך שלילי  
- לא מדובר בעומק או אינטליגנציה  
- לא מדובר בקלילות בלבד  
---
סקאלה:
0–20:
גישה שלילית — פסימיות, ביקורתיות, כובד
20–40:
די שלילי — נטייה לראות בעיות וקושי
40–60:
בינוני — שילוב בין חיובי לשלילי
60–80:
די חיובי — גישה נעימה ואופטימית
80–100:
מאוד חיובי — אופטימי, קליל, רואה טוב
---
חוקים:
- אם המשתמש מתבטא בצורה חיובית, אופטימית או קלילה → העלה ציון
- אם המשתמש מדגיש קושי, שליליות או ביקורת → הורד ציון
- אם אין מספיק מידע → תן ציון עם confidence נמוך</t>
  </si>
  <si>
    <t>הערכת לבביות וחום אנושי.
מטרת התכונה:
להעריך עד כמה המשתמש חם, נעים, מפרגן ומקרין יחס חיובי ואוהב כלפי אחרים.
---
איך להעריך:
התבסס על: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
---
הבחנות חשובות: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
---
סקאלה:
0–20:
קר מאוד — מרוחק, ענייני, ללא חום
20–40:
די קר — מעט חום, תקשורת יותר טכנית
40–60:
בינוני — תקשורת נעימה אך לא מאוד חמה
60–80:
די לבבי — חם, נעים, מפרגן
80–100:
מאוד לבבי — חם מאוד, מלא אהבה, מחמאות ואנרגיה חיובית כלפי אחרים
---
חוקים:
- אם המשתמש מבטא חום, פרגון או רכות → העלה ציון
- אם התקשורת קרה, עניינית או מרוחקת → הורד ציון
- לא להסיק לבביות רק מזה שהמשתמש חברותי
- אם אין מספיק מידע → תן ציון עם confidence נמוך</t>
  </si>
  <si>
    <t>הערכת פתיחות (Openness).
מטרת התכונה:
להעריך עד כמה המשתמש פתוח לרעיונות, חוויות וסגנונות חיים שונים — ועד כמה הוא נמשך אקטיבית להתנסות ולחוות דברים חדשים, גם אם הם מחוץ לאזור הנוחות.
לא מדובר בפתיחות רגשית.
---
איך להעריך:
התבסס על:
- סקרנות ורצון לנסות דברים חדשים
- פתיחות לרעיונות, תפיסות וסגנונות חיים שונים
- נכונות לצאת מאזור הנוחות
- משיכה לחוויות חדשות או לא שגרתיות
- עד כמה חוויות והתנסות הן ערך שמניע את המשתמש
- willingness להיכנס למצבים לא מוכרים או לא שגרתיים מתוך רצון לחוות
---
הבחנות חשובות:
- לא מדובר באינטלקטואליות (עומק שיח)
- לא מדובר בסחיות (נורמטיביות)
- אדם יכול להיות לא סחי אך לא פתוח
- אדם יכול להיות פתוח גם אם הוא לא אינטלקטואלי
- חשוב למדוד גם פתיחות מחשבתית וגם פתיחות חווייתית בפועל
---
סקאלה:
0–20:
סגור מאוד — נצמד למוכר, נמנע משינוי או חוויות חדשות
20–40:
די סגור — מעט פתיחות, מעדיף אזור נוחות
40–60:
בינוני — פתוח חלקית, אך עם גבולות ברורים
60–80:
די פתוח — סקרן, פתוח להתנסות ולרעיונות חדשים
80–100:
מאוד פתוח — מחפש חוויות, פתוח מאוד לשונות, מוכן לצאת מאזור נוחות ולהתנסות בדברים חדשים
---
חוקים:
- אם המשתמש מבטא רצון לחוות, להתנסות או לחפש חוויות → העלה ציון
- אם המשתמש מוכן להיכנס למצבים לא שגרתיים מתוך סקרנות או רצון לחוות → העלה ציון משמעותית
- אם המשתמש מבטא קבלה או סקרנות כלפי סגנונות חיים שונים → העלה ציון
- אם המשתמש מבטא הסתייגות משונות או היצמדות למה שמוכר → הורד ציון
- אם אין מספיק מידע → תן ציון עם confidence נמוך</t>
  </si>
  <si>
    <t>הערכת וייב ילדותי לעומת בוגר.
מטרת התכונה:
להעריך את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
איך להעריך:
התבסס על:
- טון וסגנון הביטוי
- סוג ההומור או הווייב הכללי
- תחומי עניין או טעמים בעלי אופי ילדותי לעומת בוגר
- תחושת "חמידות", נאיביות או playful באנרגיה הכללית
- לעומת תחושת סגנון בוגר ומבוסס יותר
---
הבחנות חשובות:
- לא מדובר באחריות או בגרות תפקודית  
- אדם יכול להיות מאוד אחראי וחכם אך עם וייב ילדותי  
- לא מדובר באינטליגנציה או עומק  
- לא מדובר ברצינות לחיים  
- מדובר בסגנון, טעם ותחושה כללית בלבד
---
סקאלה:
0–20:
וייב בוגר מאוד — סגנון בוגר, טעם ותחושה מבוססים
20–40:
די בוגר — מעט אלמנטים ילדותיים
40–60:
בינוני — שילוב בין ילדותי לבוגר
60–80:
די ילדותי — וייב playful, חמוד או נאיבי
80–100:
מאוד ילדותי — סגנון ילדי ברור, playful מאוד
---
חוקים:
- אם יש תחושה כללית של playful, חמידות או אלמנטים ילדותיים → העלה ציון
- אם הסגנון מרגיש בוגר, מאופק או "grown-up" → הורד ציון
- לא להסיק ילדותיות מהומור בלבד
- לא להסיק ילדותיות מחוסר אחריות
- אם אין מספיק מידע → תן ציון עם confidence נמוך</t>
  </si>
  <si>
    <t>הערכת שמרנות ערכית-חברתית.
מטרת התכונה:
להעריך עד כמה המשתמש מחזיק בגישה שמרנית לעומת ליברלית/פתוחה בנושאים של זוגיות, מגדר ונורמות חברתיות.
ציון גבוה = שמרני  
ציון נמוך = ליברלי / מתירני
---
איך להעריך:
התבסס על:
- תפיסות לגבי תפקידי מגדר (מסורתיים לעומת שוויוניים)
- גישה לזוגיות ומערכות יחסים
- פתיחות או התנגדות לנורמות לא שגרתיות
- עמדות לגבי חופש אישי מול מסגרת מסורתית
- שיפוטיות מול קבלה של אורח חיים שונה
---
הבחנות חשובות:
- לא מדובר בפוליטיקה (שמאל/ימין)
- לא מדובר בדתיות (זו תכונה נפרדת)
- יש להתמקד בגישה הערכית והחברתית בפועל
- ניתן להסיק גם באופן עקיף — אך לשקף זאת ב-confidence
---
סקאלה:
0–20:
ליברלי מאוד — פתוח מאוד, שוויוני, מקבל מגוון רחב של סגנונות חיים
20–40:
די ליברלי — פתוח יחסית, מעט גבולות
40–60:
בינוני — שילוב בין גישות
60–80:
די שמרני — מחזיק בגישות מסורתיות יותר
80–100:
מאוד שמרני — תפיסות מסורתיות ברורות, פחות פתוח לשונות
---
חוקים:
- אם יש אמירות ברורות על תפקידי מגדר, גבולות או נורמות → העלה ציון בהתאם
- אם יש ביטוי לפתיחות, שוויון או קבלה → הורד ציון
- אם יש שיפוטיות כלפי סגנונות חיים שונים → העלה ציון
- אם אין מספיק מידע → תן ציון עם confidence נמוך
- אין למצע ציונים ללא סיבה — אך גם אין לנחש ללא בסיס</t>
  </si>
  <si>
    <t>הערכת ציונות ואהבת המדינה.
מטרת התכונה:
להעריך עד כמה המשתמש מחובר רגשית וערכית למדינה — כולל תחושת שייכות, אהבת הארץ והזדהות עם רעיון הציונות.
---
איך להעריך:
התבסס על:
- אמירות על אהבת הארץ או המדינה
- הזדהות כציוני
- תחושת שייכות, גאווה או משמעות הקשורה למדינה
- התייחסות ערכית לחיים בארץ
---
הבחנות חשובות:
- לא מדובר בפוליטיקה או עמדות ספציפיות
- יש להבחין בין אזכור כללי לבין ערך משמעותי
- ניתן לזהות גם אדישות או ריחוק רגשי
---
סקאלה:
0–20:
אין חיבור — אדישות או ניתוק מהמדינה
20–40:
חיבור נמוך — מעט שייכות, לא ערך מרכזי
40–60:
בינוני — חיבור מסוים אך לא משמעותי
60–80:
די מחובר — אהבה והזדהות עם המדינה
80–100:
מאוד מחובר — ציונות ואהבת הארץ כערך מרכזי
---
חוקים:
- אם המשתמש מדגיש שהמדינה/ציונות חשובים לו → העלה ציון
- אם יש ביטויי אהבה, שייכות או גאווה → העלה ציון
- אם המשתמש מתאר את הקשר למדינה כחלק מהזהות שלו → העלה ציון משמעותית
- אם המשתמש מבטא ריחוק, אדישות או ביקורת עמוקה → הורד ציון
- לא להסיק מהזכרת ישראל בלבד
- אם אין מספיק מידע → תן ציון עם confidence נמוך</t>
  </si>
  <si>
    <t>הערכת צמחונות / טבעונות.
מטרת התכונה:
להעריך את הרגלי התזונה של המשתמש ביחס לצריכת בעלי חיים — החל מאכילת בשר רגילה ועד צמחונות או טבעונות.
ציון גבוה = יותר צמחוני/טבעוני  
ציון נמוך = אוכל בשר באופן רגיל
---
איך להעריך:
התבסס על:
- הצהרה מפורשת (צמחוני / טבעוני)
- תיאור הרגלי אכילה בפועל
- הימנעות ממוצרים מן החי
---
הבחנות חשובות:
- יש להסתמך על מידע מפורש בלבד
- לא להסיק מתכונות אחרות או ערכים כלליים
- העדפה בלבד (למשל "אוהב אוכל צמחוני") ≠ צמחונות
---
סקאלה:
0–20:
אוכל בשר באופן רגיל
20–40:
מעט הפחתה בצריכת בשר
40–60:
נוטה לצמחונות אך לא עקבי
60–80:
צמחוני
80–100:
טבעוני
---
חוקים:
- אם המשתמש מציין שהוא צמחוני → ציון גבוה (60–80)
- אם המשתמש מציין שהוא טבעוני → ציון גבוה מאוד (80–100)
- אם אין הצהרה ברורה → לא להסיק או לתת ציון עם confidence נמוך מאוד
- לא להסיק מתזונה בריאה או ערכים בלבד</t>
  </si>
  <si>
    <t>הערכת מוסר עבודה.
מטרת התכונה:
להעריך עד כמה המשתמש רציני, מחויב ומשקיע בעבודה או בעשייה שלו — ועד כמה יש לו גישה של התמדה, אחריות ורצון לעשות דברים כמו שצריך.
---
איך להעריך:
התבסס על:
- יחס לעבודה, קריירה או עשייה
- מידת האחריות והמחויבות
- השקעה, התמדה וחריצות
- שאיפה לעשות דברים היטב ולא רק "לסמן וי"
- גישה של משמעת עצמית והתמדה לאורך זמן
---
הבחנות חשובות:
- לא מדובר רק בשאפתנות  
  אדם יכול להיות שאפתן אך עם מוסר עבודה נמוך  
- לא מדובר רק ברצינות כללית לחיים  
  כאן הפוקוס הוא על עבודה, עשייה והתמדה בפועל  
- לא מדובר בהצלחה חיצונית או סטטוס  
  אלא באופן שבו האדם ניגש לעבודה ומחזיק מחויבות
---
סקאלה:
0–20:
מוסר עבודה נמוך מאוד — חוסר התמדה, חוסר מחויבות, גישה רופפת
20–40:
די נמוך — מעט אחריות או השקעה, נוטה לזרום
40–60:
בינוני — מתפקד ועושה מה שצריך, אך לא מאוד משקיע
60–80:
די גבוה — אחראי, מתמיד, משקיע בעבודה ובעשייה
80–100:
גבוה מאוד — חרוץ, מחויב מאוד, משקיע ודורש מעצמו
---
חוקים:
- אם המשתמש מדבר על התמדה, השקעה, מחויבות או משמעת עצמית → העלה ציון
- אם המשתמש מתאר את עצמו כעצלן, לא עקבי או חסר משמעת → הורד ציון
- אם יש שאיפות אבל מעט עדות לעשייה בפועל → אל תיתן ציון גבוה מדי
- אם אין מספיק מידע → תן ציון עם confidence נמוך</t>
  </si>
  <si>
    <t>הערכת נטייה לציות למסגרות (״ילד טוב״).
מטרת התכונה:
להעריך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
איך להעריך:
התבסס על:
- יחס לחוקים ולמסגרות
- נטייה "לעשות את הדבר הנכון"
- כבוד לסמכות או כללים
- לעומת נוחות לעגל פינות או לחרוג מהכללים
- גישה של ציות לעומת גישה חופשית/מרדנית
---
הבחנות חשובות:
- לא מדובר במוסר או טוב/רע
- לא מדובר בפשע או עבירות חמורות
- אדם יכול להיות חכם, מוסרי ואחראי אך לא "ילד טוב"
- מדובר בסגנון התנהלות מול חוקים ומסגרות
---
סקאלה:
0–20:
מאוד לא "ילד טוב" — גישה חופשית, נוטה לעגל פינות, לא מחויב לכללים
20–40:
די גמיש — חוקים נתפסים כהמלצה
40–60:
בינוני — שילוב בין ציות לגמישות
60–80:
די "ילד טוב" — נוטה לפעול לפי הכללים
80–100:
מאוד "ילד טוב" — מציית, הולך לפי חוקים ומסגרות
---
חוקים:
- אם המשתמש מדגיש חשיבות של כללים, סדר או "לעשות נכון" → העלה ציון
- אם המשתמש מבטא גישה של גמישות, עקיפת חוקים או "לזרום" עם הכללים → הורד ציון
- לא להסיק ממוסר או אינטליגנציה
- אם אין מספיק מידע → תן ציון עם confidence נמוך</t>
  </si>
  <si>
    <t>הערכת רגישות למראה חיצוני.
מטרת התכונה:
להעריך עד כמה המראה החיצוני של בן/בת זוג הוא גורם חשוב ומשמעותי עבור המשתמש.
---
איך להעריך:
התבסס על:
- עד כמה המשתמש מדבר על מראה חיצוני
- קיומן של דרישות או העדפות ברורות
- נוקשות או גמישות לגבי מראה
- האם מראה מוצג כדיל ברייקר או כגורם מרכזי
- חזרתיות — האם הנושא עולה כמה פעמים
---
הבחנות חשובות:
- לא למדוד מה הטעם (למשל גובה/שיער), אלא כמה זה חשוב
- אזכור בודד של מראה ≠ רגישות גבוהה
- יש להבחין בין העדפה ("נחמד אם") לבין דרישה ("חייב/ת")
- יש להתחשב בטון — נוקשות מול גמישות
---
סקאלה:
0–20:
לא חשוב — כמעט ואין חשיבות למראה
20–40:
חשיבות נמוכה — העדפות קלות בלבד
40–60:
בינוני — יש חשיבות, אך לא מרכזית
60–80:
די חשוב — מראה הוא גורם משמעותי
80–100:
חשוב מאוד — דרישות ברורות, דיל ברייקרים, נוקשות גבוהה
---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 אם אין אזכור → תן ציון נמוך עם confidence נמוך
- לא להסיק מציון גבוה על סמך אזכור אחד בלבד
---
חיזוק:
אם המשתמש מבטא דרישות ברורות או נוקשות לגבי מראה → שקול גם להעלות weight_for_match</t>
  </si>
  <si>
    <t>הערכת היפסטריות (סגנון אינדי/אלטרנטיבי).
מטרת התכונה:
להעריך עד כמה המשתמש משדר סגנון וטעם תרבותי אלטרנטיבי, אינדי או "היפסטרי" — כלומר העדפה לדברים לא מיינסטרימיים, נישתיים או ייחודיים.
---
איך להעריך:
התבסס על:
- טעם תרבותי (מוזיקה, קולנוע, בילויים) לא מיינסטרימי
- העדפה לדברים נישתיים או פחות פופולריים
- סגנון אישי שמדגיש ייחודיות או אלטרנטיביות
- וייב של "אני לא כמו כולם"
- לעיתים גם נימה של מודעות לסטייל או ייחודיות
---
הבחנות חשובות:
- לא מדובר רק ב"לא סחי" — אך לעיתים יש חפיפה
- לא מדובר באינטלקטואליות — אך לעיתים יכולה להיות קורלציה
- אדם יכול להיות לא מיינסטרים אך לא היפסטר
- מדובר בסגנון תרבותי ואסתטי ספציפי
---
סקאלה:
0–20:
לא היפסטרי — טעם מיינסטרימי לחלוטין
20–40:
מעט אלטרנטיבי — נגיעות קלות של אינדי
40–60:
בינוני — שילוב בין מיינסטרים לאלטרנטיבי
60–80:
די היפסטרי — טעם וסגנון נישתי וברור
80–100:
מאוד היפסטרי — וייב אינדי מובהק, טעם ייחודי ולא מיינסטרימי
---
חוקים:
- אם המשתמש מדגיש טעם ייחודי או לא מיינסטרימי → העלה ציון
- אם יש וייב ברור של אינדי/אלטרנטיבי → העלה ציון
- ניתן להשתמש בקורלציות מתכונות אחרות (כמו לא סחי או אינטלקטואליות) כסיגנל חלש בלבד כאשר אין מידע ישיר
- אין להסיק היפסטריות מתכונה אחת בלבד
- יש להעדיף סיגנלים ישירים של סגנון וטעם על פני הסקות עקיפות
- אם אין מספיק מידע → תן ציון עם confidence נמוך
---
חיזוק:
יש להעריך את הסגנון הכללי והוייב של המשתמש, ולא להסתמך על פריט או תחביב בודד</t>
  </si>
  <si>
    <t>הערכת וייב תל אביבי.
מטרת התכונה:
להעריך עד כמה המשתמש מתחבר לסגנון החיים, התרבות והוייב המזוהים עם תל אביב — או לחלופין עד כמה הוא מרגיש מנותק או אפילו אנטגוניסטי אליו.
---
איך להעריך:
התבסס על:
- יחס ישיר לתל אביב (אהבה / חיבור / הסתייגות)
- הזדהות עם סגנון החיים המזוהה עם תל אביב
- העדפה או דחייה של בילויים, סגנון חברתי ותרבות המזוהים עם העיר
- תחושת "זה אני" לעומת "זה לא מדבר אליי בכלל"
---
הבחנות חשובות:
- לא מדובר בכמה המשתמש עירוני או יוצא לבלות
- אדם יכול להיות מאוד עירוני אך לא להתחבר לוייב התל אביבי
- אדם יכול לא לגור בתל אביב ועדיין להזדהות איתה מאוד
- מדובר בהזדהות תרבותית־סגנונית ספציפית
---
סקאלה:
0–20:
אנטי תל אביבי — חוסר חיבור ברור או אפילו דחייה
20–40:
די לא מתחבר — לא מזדהה עם הסגנון
40–60:
בינוני — אדישות או חיבור חלקי
60–80:
די מתחבר — אוהב את הסגנון והוייב
80–100:
מאוד תל אביבי — הזדהות חזקה, "זה אני"
---
חוקים:
- אם המשתמש מבטא אהבה או חיבור לתל אביב או לוייב שלה → העלה ציון
- אם המשתמש מבטא חוסר חיבור או אנטגוניזם → הורד ציון משמעותית
- יש להעריך הזדהות תרבותית, לא רק התנהגות
- ניתן להשתמש בקורלציות (נהנתנות, פתיחות וכו') כסיגנל חלש בלבד
- אם אין מספיק מידע → תן ציון עם confidence נמוך</t>
  </si>
  <si>
    <t>הערכת סגנון מזרחי (עממיות תרבותית־סגנונית).
מטרת התכונה:
להעריך עד כמה המשתמש משדר סגנון תרבותי־מזרחי בווייב, בטעם ובסגנון האישי — לעומת סגנון פחות עממי ויותר נישתי או מובחן.
ציון גבוה = סגנון מזרחי מובהק  
ציון נמוך = סגנון פחות מזרחי / יותר סלקטיבי או נישתי
---
איך להעריך:
התבסס על:
- טעם מוזיקלי (למשל חיבור למוזיקה מזרחית או פופולרית)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הבחנות חשובות:
- לא מדובר בעדה או רקע אישי בפועל
- מדובר בסגנון תרבותי בלבד
- אדם יכול להיות מכל רקע ולהיות בעל סגנון מזרחי או לא
- לא מדובר באינטליגנציה, קלילות או נהנתנות
- לא מדובר רק במיינסטרים — אלא בסגנון תרבותי ספציפי
---
סקאלה:
0–20:
לא מזרחי — סגנון נישתי, סלקטיבי או מובחן מאוד
20–40:
מעט מזרחי — נגיעות קלות של סגנון עממי
40–60:
בינוני — שילוב בין סגנונות
60–80:
די מזרחי — סגנון עממי ברור
80–100:
מאוד מזרחי — וייב מובהק של סגנון מזרחי
---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 ניתן להשתמש במספר אינדיקציות (מוזיקה, שפה, וייב) יחד — לא מאפיין אחד בלבד
- לא להסיק על בסיס עדה
- יש להעריך את הוייב הכללי
- אם אין מספיק מידע → תן ציון עם confidence נמוך</t>
  </si>
  <si>
    <t>הערכת גיקיות (חיבור לתרבות גיקית).
מטרת התכונה:
להעריך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
איך להעריך:
התבסס על: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
---
הבחנות חשובות:
- לא מדובר באינטליגנציה או אנליטיות
- לא מדובר ב"חנוניות" כללית
- אדם יכול להיות חכם מאוד אך לא גיק
- אדם יכול להיות גיקי מאוד אך לא "חנון"
- מדובר בתחומי עניין וסגנון תרבותי בלבד
---
סקאלה:
0–20:
לא גיק — אין חיבור לעולמות תוכן גיקיים
20–40:
מעט גיק — נגיעות קלות
40–60:
בינוני — תחומי עניין מסוימים
60–80:
די גיק — חיבור ברור לתרבות גיקית
80–100:
מאוד גיק — עולמות תוכן גיקיים הם חלק מרכזי
---
חוקים:
- אם המשתמש מציין תחומי עניין גיקיים ברורים → העלה ציון
- אם מדובר בתחביב מרכזי → העלה ציון משמעותית
- לא להסיק מגיקיות על אינטליגנציה
- לא להסיק מהיותו מופנם או חנון
- יש להעדיף תחומי עניין מפורשים על פני הסקות עקיפות
- אם אין מספיק מידע → תן ציון עם confidence נמוך</t>
  </si>
  <si>
    <t>הערכת היפיות (סגנון רוחני־אלטרנטיבי).
מטרת התכונה:
להעריך עד כמה המשתמש מתחבר לסגנון חיים רוחני, אלטרנטיבי או "היפי" — הכולל עניין ברוחניות, סדנאות, התפתחות אישית, טבע ואורח חיים פחות קונבנציונלי.
ציון גבוה = יותר היפי  
ציון נמוך = לא היפי
---
איך להעריך:
התבסס על:
- עניין ברוחניות או התפתחות אישית
-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
---
הבחנות חשובות:
- לא מדובר בפתיחות כללית
- לא מדובר בנהנתנות
- לא מדובר באינטלקטואליות
- אדם יכול להיות פתוח אך לא היפי
- מדובר בסגנון חיים ותרבות ספציפיים
---
סקאלה:
0–20:
לא היפי — אין חיבור לעולם הרוחני/אלטרנטיבי
20–40:
מעט היפי — נגיעות קלות
40–60:
בינוני — עניין מסוים
60–80:
די היפי — חיבור ברור לעולם הרוחני/אלטרנטיבי
80–100:
מאוד היפי — זהות וסגנון חיים היפי מובהק
---
חוקים:
- אם המשתמש מציין עניין ברור ברוחניות או סדנאות → העלה ציון
- אם מדובר בחלק משמעותי מהחיים → העלה ציון משמעותית
- לא להסיק מתכונה אחת בלבד
- ניתן להשתמש בקורלציות (פתיחות, סגנון חיים) כסיגנל חלש בלבד
- יש להעדיף אינדיקציות ישירות
- אם אין מספיק מידע → תן ציון עם confidence נמוך</t>
  </si>
  <si>
    <t>הערכת סגנון תרבותי־רוסי (יוצאי ברה״מ).
מטרת התכונה:
להעריך עד כמה המשתמש משדר סגנון תרבותי המזוהה עם יוצאי ברית המועצות לשעבר — מבחינת וייב, סגנון חברתי ותרבותי — או עד כמה הוא אינו מזוהה עם סגנון זה.
ציון גבוה = סגנון רוסי מובהק  
ציון נמוך = לא מזוהה עם הסגנון
---
איך להעריך:
התבסס על:
- זהות מוצהרת (למשל: רוסי/אוקראיני וכו') — סיגנל חזק
- חיבור או הזדהות עם התרבות
- וייב וסגנון כללי (חברתי, תקשורתי, תרבותי)
- תחושת שייכות או חיבור לקהילה
---
הבחנות חשובות:
- לא מדובר רק במוצא, אלא גם בסגנון
- אדם יכול להיות ממוצא רוסי אך לא להזדהות עם הסגנון
- אדם יכול לא להיות ממוצא רוסי אך לאמץ סגנון כזה
- מדובר בהתרשמות כללית — לא בתכונות אופי ספציפיות
---
סקאלה:
0–20:
לא מזוהה כלל עם הסגנון
20–40:
מעט זיקה
40–60:
בינוני — חלק מהמאפיינים קיימים
60–80:
די מזוהה — סגנון ברור
80–100:
מאוד מזוהה — סגנון מובהק או זהות מוצהרת
---
חוקים:
- אם המשתמש מציין מוצא רוסי/אוקראיני → העלה ציון משמעותית
- אם יש גם הזדהות תרבותית → העלה ציון עוד יותר
- אם יש רק וייב ללא מידע ישיר → ניתן להסיק בזהירות עם confidence נמוך
- לא להסיק על בסיס סטריאוטיפים בלבד
- יש להעדיף מידע ישיר על פני התרשמות
- אם אין מספיק מידע → תן ציון עם confidence נמוך</t>
  </si>
  <si>
    <t>זיהוי רעילות (התנהגות מסוכנת).
מטרת התכונה: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
איך להעריך:
התבסס על:
- שיח אלים או תוקפני
- ביטויי שנאה (גזענות, שנאת נשים, הכללות פוגעניות וכו')
- זלזול או הקטנה של אחרים
- תפיסות בעייתיות לגבי זוגיות (שליטה, חוסר כבוד, החפצה)
- אגרסיביות או נוקשות חריגה בשיח
---
הבחנות חשובות:
- לא כל דעה לא פופולרית היא רעילות
- לא כל ישירות היא רעילות
- יש להבחין בין הומור לבין כוונה אמיתית
- יש להעריך לפי דפוס ולא לפי אמירה בודדת (אלא אם היא חמורה במיוחד)
---
סקאלה:
0–20:
אין סימני רעילות — שיח תקין
20–40:
מעט סימנים — ניואנסים קלים בלבד
40–60:
גבולי — יש אינדיקציות, אך לא חד משמעיות
60–80:
רעילות גבוהה — דפוסים ברורים של שיח בעייתי
80–100:
רעילות חמורה — ביטויים חריפים של אלימות, שנאה או התנהגות מסוכנת
---
חוקים:
- יש להסתמך על דפוסים חוזרים ולא על אמירה בודדת (אלא אם היא חמורה מאוד)
- אם יש ביטוי קיצוני (אלימות, גזענות ברורה וכו') → העלה ציון משמעותית
- אם אין אינדיקציות ברורות → שמור על ציון נמוך
---
חיזוק (קריטי):
יש לזהות רעילות רק כאשר יש אינדיקציות ברורות — אין להסיק רעילות על בסיס רמזים חלשים בלבד
---
כלל כיסוי (חשוב):
אם לאחר מספר אינטראקציות (כ־10–12 שאלות) לא זוהו אינדיקציות לרעילות —
יש להניח שהמשתמש אינו רעיל, ולהחזיר ציון נמוך עם confidence סביר (לא null)
אין להשאיר את התכונה ריקה כאשר יש מספיק מידע כללי על השיחה</t>
  </si>
  <si>
    <t>זיהוי טרוליות.
מטרת התכונה:
לזהות האם המשתמש באמת מחפש שידוך ומשתף פעולה עם המערכת, או שמא הוא עונה בצורה לא כנה, ממציא, משחק עם המערכת או מטריל אותה.
תכונה זו מיועדת לניטור ובקרה פנימיים בלבד, ואינה חלק מציון ההתאמה.
---
איך להעריך:
התבסס על:
- תשובות שנראות מופרכות או לא אמינות במכוון
- סתירות חוזרות ומהותיות
- תשובות לא ענייניות או לא קשורות
- תחושה שהמשתמש "משחק" עם המערכת במקום לענות בכנות
- זלזול עקבי בתהליך או בפורמט
- תשובות אבסורדיות, ציניות או מופרעות באופן שחוזר על עצמו
---
הבחנות חשובות: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
---
סקאלה:
0–20:
אין סימני טרוליות — נראה משתף פעולה וכנה
20–40:
מעט סימנים — קלילות, בלבול או חוסר רצינות מסוים
40–60:
גבולי — יש אינדיקציות, אך לא חד משמעיות
60–80:
טרוליות גבוהה — דפוס ברור של תשובות לא כנות/מופרכות/לא ענייניות
80–100:
טרוליות חמורה — נראה באופן ברור שהמשתמש מטריל את המערכת
---
חוקים:
- יש להסתמך על דפוס חוזר ולא על תשובה אחת בודדת
- אם יש סתירות מהותיות חוזרות, תשובות מופרכות או זלזול עקבי → העלה ציון משמעותית
- אם המשתמש מוזר אך עדיין נראה כנה ומשתף פעולה → לא לתת ציון גבוה
- אם אין אינדיקציות ברורות → שמור על ציון נמוך
---
חיזוק (קריטי):
יש לזהות טרוליות רק כאשר יש אינדיקציות ברורות — אין להסיק טרוליות על בסיס תשובה אחת מוזרה, הומור, או חוסר עקביות קל בלבד
---
כלל כיסוי (חשוב):
אם לאחר מספר אינטראקציות (כ־10–12 שאלות) לא זוהו אינדיקציות ברורות לטרוליות —
יש להניח שהמשתמש אינו טרול, ולהחזיר ציון נמוך עם confidence סביר (לא null)
אין להשאיר את התכונה ריקה כאשר יש מספיק מידע כללי על השיחה</t>
  </si>
  <si>
    <t>זיהוי דיל ברייקרס פוטנציאליים.
מטרת התכונה:
לזהות מאפיינים משמעותיים אצל המשתמש שעלולים להוות דיל ברייקר עבור חלק מהאנשים — לצורך התאמה טובה יותר והימנעות מחוסר התאמה.
אין לתת ציון.
יש להחזיר:
1. רשימה של דיל ברייקרס מתוך רשימה מוגדרת בלבד
2. תיאור טקסטואלי קצר (אם יש מה להוסיף)
---
רשימת דיל ברייקרס אפשריים:
- lives_with_parents (גר עם ההורים)
- divorced (גרוש/ה)
- has_children (יש ילדים)
- has_pets (יש לו בעל חיים)
- dislikes_pets (שונא/לא מסתדר עם בעלי חיים)
---
איך להעריך:
התבסס על מידע מפורש שהמשתמש נתן במהלך השיחה.
---
הבחנות חשובות:
- מדובר בדיל ברייקרס פוטנציאליים בלבד — לא בהכרח בעיה
- יש להחזיר רק מאפיינים משמעותיים וברורים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"גר עם ההורים כרגע" או "יש כלב בבית")</t>
  </si>
  <si>
    <t>יתרונות אפשריים</t>
  </si>
  <si>
    <t>זיהוי יתרונות פוטנציאליים.
מטרת התכונה:
לזהות מאפיינים אצל המשתמש שיכולים להוות יתרון עבור חלק מהאנשים — לצורך התאמה טובה יותר והדגשת נקודות חיוביות.
אין לתת ציון.
יש להחזיר:
1. רשימה של יתרונות מתוך רשימה מוגדרת בלבד
2. תיאור טקסטואלי קצר (אם יש מה להוסיף)
---
רשימת יתרונות אפשריים:
- has_pets (יש לו בעל חיים)
- has_children (יש ילדים)
- divorced (גרוש/ה)
- plays_music (מנגן)
- into_fitness (עוסק בבריאות וכושר)
- high_income (הכנסה גבוהה)
- high_education (השכלה גבוהה)
---
איך להעריך:
התבסס על מידע מפורש שהמשתמש נתן במהלך השיחה.
---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"מנגן בגיטרה" או "מתאמן באופן קבוע")</t>
  </si>
  <si>
    <t>שימוש פנימי - יתרונות אפשריים לבדיקה</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</si>
  <si>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</si>
  <si>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</si>
  <si>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</si>
  <si>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</si>
  <si>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</si>
  <si>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</si>
  <si>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</si>
  <si>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</si>
  <si>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</si>
  <si>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</si>
  <si>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</si>
  <si>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</si>
  <si>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</si>
  <si>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</si>
  <si>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</si>
  <si>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</si>
  <si>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</si>
  <si>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</si>
  <si>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</si>
  <si>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</si>
  <si>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</si>
  <si>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</si>
  <si>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</si>
  <si>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</si>
  <si>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</si>
  <si>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</si>
  <si>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</si>
  <si>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</si>
  <si>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</si>
  <si>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</si>
  <si>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</si>
  <si>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</si>
  <si>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</si>
  <si>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</si>
  <si>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</si>
  <si>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הערכת אינטליגנציה מחשבתית (לא רגשית).
מטרת התכונה:
להעריך את רמת החשיבה הקוגניטיבית של המשתמש — יכולת ניסוח, מורכבות מחשבה, עומק, והיגיון.
אין להתייחס לאינטליגנציה רגשית.
---
איך להעריך:
השתמש בסיגנלים הבאים:
- מורכבות ניסוח (פשוט / מורכב)
- עומק רעיוני (שטחי / מעמיק)
- יכולת הבחנה בין רעיונות
- חשיבה לוגית ועקבית
- יכולת להסביר או לנתח דברים
---
סקאלה (חובה להשתמש בקצוות כשמתאים):
0–20:
חשיבה מאוד בסיסית, תשובות שטחיות מאוד, בלבול, חוסר היגיון
20–40:
פשוט, מוגבל, מעט עומק, ניסוח בסיסי
40–60:
ממוצע — תקשורת תקינה אבל ללא עומק מיוחד
60–75:
מעל הממוצע — חשיבה ברורה, ניסוח טוב, מעט עומק
75–90:
גבוה — ניסוח מדויק, חשיבה מורכבת, הבחנות טובות
90–100:
גבוה מאוד — עומק חריג, הפשטה, ניתוח, חשיבה חדה במיוחד
---
חוקים חשובים:
- אין להימנע מציונים נמוכים אם זה מה שנראה
- אם השיחה פשוטה/שטחית → הציון צריך להיות נמוך
- אל תמשוך לממוצע
- אם יש מעט מידע → תן ציון עם confidence נמוך, אבל עדיין תעריך
---
משקל עבור התאמה:
יש להגדיר weight_for_match רק אם המשתמש מביע חשיבות לאינטליגנציה אצל בן/בת זוג.
אינדיקציות:
- "חשוב לי מישהו חכם"
- "צריך שיהיה ברמה שלי"
- "לא מסתדרת עם אנשים לא חכמים"
אם אין סיגנל ברור → להשאיר null
אין למצע ציונים. אם רמת החשיבה נראית נמוכה או גבוהה — יש לשקף זאת בצורה חדה.
אין לתת ציון מעל הממוצע כברירת מחדל.</t>
  </si>
  <si>
    <t>יוקרה תעסוקתית - הערכת רמת השכלה ומסלול מקצועי.
מטרת התכונה:
להעריך את רמת ההשכלה והמסלול המקצועי של המשתמש — כולל סוג העיסוק, רמת מקצועיות והישגים — כמדד כללי לסגנון חיים, תחומי עניין והתאמה אפשרית.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
איך להעריך:
התבסס על:
- השכלה פורמלית (תואר, תחום לימודים)
- סוג המקצוע
- רמת מומחיות או בכירות
- תחום עיסוק (למשל: הייטק, רפואה, הנדסה וכו')
- תיאורים של הקריירה או המסלול המקצועי
---
הבחנות חשובות:
- לא מדובר באינטליגנציה
- לא מדובר בערך אישי של האדם
- מדובר במדד של השכלה ומסלול מקצועי בלבד
---
סקאלה:
0–20:
ללא השכלה פורמלית או מקצוע שאינו דורש הכשרה
20–40:
הכשרה בסיסית / מקצוע כללי
40–60:
השכלה או מקצוע בינוני
60–80:
השכלה גבוהה או מקצוע מקצועי
80–100:
השכלה גבוהה מאוד או מקצוע ברמת מומחיות/יוקרה גבוהה
---
אין למצע ציונים.
מקצועות הדורשים השכלה גבוהה או הכשרה מקצועית משמעותית (כגון הייטק, רפואה, הנדסה וכו') → ציון גבוה.
מקצועות ללא השכלה פורמלית או מסלול מקצועי ברור → ציון נמוך.
יש להשתמש בטווח רחב של הסקאלה כאשר יש סיגנל ברור.
חוקים:
- אם המשתמש מציין תואר, לימודים מתקדמים או מקצוע מקצועי → העלה ציון
- אם יש תיאור של תפקיד בכיר או מומחיות → העלה ציון משמעותית
- אין להסיק מקצוע או השכלה ללא מידע מפורש
- אם אין מספיק מידע → תן ציון עם confidence נמוך</t>
  </si>
  <si>
    <t>הערכת נטייה פוליטית.
מטרת התכונה:
להעריך את מיקומו של המשתמש על הציר הפוליטי — משמאל לימין — בהתאם לעמדות או רמזים פוליטיים שהוא מבטא.
ציון נמוך = שמאל  
ציון גבוה = ימין
---
איך להעריך:
התבסס על:
- אמירות פוליטיות מפורשות
- הזדהות עם מחנות או עמדות
- רמזים עקיפים אך ברורים לעמדות פוליטיות
- נושאים ערכיים עם זיקה פוליטית ברורה
---
הבחנות חשובות:
- לא מדובר ברמת מעורבות פוליטית (זו תכונה נפרדת)
- לא להסיק נטייה פוליטית מתכונות אחרות (דתיות, שמרנות וכו')
- אם אין אינדיקציה ברורה → עדיף לא לנחש
---
סקאלה:
0–20:
שמאל קיצוני
20–40:
שמאל מתון
40–60:
מרכז
60–80:
ימין מתון
80–100:
ימין קיצוני
---
אם המשתמש מציין עמדה פוליטית במפורש — יש להשתמש בה ישירות.
אם אין שום אזכור לפוליטיקה — אין להסיק כלל ויש להשאיר את התכונה ללא ערך.
אין להסיק עמדה פוליטית על בסיס סגנון, ערכים או תחומי עניין.
___
חוקים:
- אם המשתמש מבטא עמדה פוליטית ברורה → תן ציון בהתאם
- אם יש רמזים עקיפים אך עקביים → ניתן להסיק עם confidence נמוך יותר
- אם אין מספיק מידע → השאר null או תן ציון עם confidence נמוך מאוד
- לא למצע ציונים כאשר יש אינדיקציה ברורה
- אין להסיק נטייה פוליטית מתכונות אחרות בלבד</t>
  </si>
  <si>
    <t>הערכת טיפוס מסיבתי (סגנון חיי לילה).
מטרת התכונה:
להעריך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
איך להעריך:
התבסס על: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
---
הבחנות חשובות:
- אדם יכול ליהנות ממסיבות אך לא להיות טיפוס מסיבתי  
- התכונה מודדת סגנון חיים, לא העדפה נקודתית  
---
סקאלה:
0–20:
לא מסיבתי בכלל — לא חלק מהחיים, כמעט ולא יוצא למסיבות
20–40:
מעט מסיבתי — יוצא לפעמים, לא חלק משמעותי מהשגרה
40–60:
בינוני — משלב מסיבות מדי פעם כחלק מהחיים
60–80:
די מסיבתי — חיי לילה משמעותיים, יוצא הרבה
80–100:
מאוד מסיבתי — סגנון חיים מסיבתי, מסיבות וליינים הם חלק מרכזי מהזהות והשגרה
---
חוקים:
- אם מדובר ביציאות מדי פעם בלבד → לא לתת ציון גבוה
- אם זה נראה כמו חלק קבוע מהחיים → העלה ציון
- אם המשתמש מתאר ליינים, סצנה, יציאות תכופות → העלה ציון משמעותית
- אם אין מידע → תן ציון עם confidence נמוך</t>
  </si>
  <si>
    <t>הערכת אהבה לבעלי חיים.
מטרת התכונה:
להעריך עד כמה המשתמש אוהב, מחובר ונוח עם בעלי חיים — ועד כמה נוכחות של בעלי חיים מתאימה לו בחיים.
---
איך להעריך:
התבסס על:
- אהבה מפורשת לבעלי חיים
- קיום חיית מחמד בפועל (סיגנל חזק מאוד)
- תיאורים של קשר רגשי לבעלי חיים
- נכונות לחיות עם בעלי חיים
- רתיעה, פחד או התנגדות לבעלי חיים
---
הבחנות חשובות:
- לא להסיק אהבה רק מאזכור של בעלי חיים
- יש להבין את ההקשר (חיובי / שלילי / ניטרלי)
- אזכור שלילי (פחד, דיל ברייקר) → ציון נמוך
- אזכור חיובי עם מעורבות (למשל יש כלב) → ציון גבוה
יש להבין את ההקשר.
פחד, סלידה או דיל ברייקר הקשור לבעלי חיים הם סיגנל חזק מאוד לציון נמוך עם confidence גבוה.
אזכור של בעל חיים בלבד אינו סיגנל חיובי.
---
סקאלה:
0–20:
לא אוהב — רתיעה, פחד או התנגדות ברורה
20–40:
די לא אוהב — לא נוח עם בעלי חיים
40–60:
בינוני — ניטרלי, אין חיבור חזק
60–80:
די אוהב — חיבור חיובי לבעלי חיים
80–100:
מאוד אוהב — אהבה ברורה, לעיתים גם חיית מחמד בפועל
---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 אם אין מספיק מידע → תן ציון עם confidence נמוך</t>
  </si>
  <si>
    <t>זיהוי זהות מגדרית/מינית מוצהרת.
מטרת התכונה:
לזהות האם המשתמש הצהיר באופן מפורש על זהות מגדרית או מינית שאינה סטנדרטית — לצורך התאמה מדויקת יותר והימנעות מחוסר התאמה.
תכונה זו מיועדת לשימוש פנימי בלבד.
---
איך להעריך:
התבסס על:
- הצהרה מפורשת של המשתמש על זהות מגדרית (למשל טרנסג׳נדר, לא בינארי וכו')
- הצהרה מפורשת על זהות מינית (למשל א-מיני וכו')
- מידע ברור שהמשתמש בחר לשתף
---
הבחנות חשובות:
- אין להסיק זהות מגדרית או מינית ללא הצהרה מפורשת
- אין לנחש על בסיס סגנון, שפה או התנהגות
- מדובר רק במה שהמשתמש בחר לשתף באופן ברור
---
סקאלה:
0–20:
אין אינדיקציה — לא נמסר מידע
60–80:
יש אינדיקציה מסוימת אך לא חד משמעית
80–100:
הצהרה מפורשת וברורה
---
חוקים:
- רק הצהרה מפורשת → ציון גבוה
- רמזים בלבד → לכל היותר ציון בינוני עם confidence נמוך
- אין לנחש או להסיק באופן עקיף
- אם אין מידע → אפשר לתת ציון נמוך בסבירות נמוכה.
- אם אין מידע מתוך הרבה טקסט (נגיד בסיום השאלון) - אפשר לתת ציון נמוך בסבירות די גבוהה - נגיד 0.5
---
כלל כיסוי:
אם לאחר השיחה לא התקבלה שום הצהרה מפורשת —
יש להניח שאין מידע רלוונטי, ולא להסיק דבר</t>
  </si>
  <si>
    <t>סקאלת ציונים</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</si>
  <si>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</si>
  <si>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</si>
  <si>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</si>
  <si>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 xml:space="preserve">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t>
  </si>
  <si>
    <t xml:space="preserve">
התבסס על מידע מפורש שהמשתמש נתן במהלך השיחה.</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</si>
  <si>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</si>
  <si>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</si>
  <si>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</si>
  <si>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</si>
  <si>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</si>
  <si>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</si>
  <si>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</si>
  <si>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הערכת מופנמות / מוחצנות כסגנון ביטוי.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</si>
  <si>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</si>
  <si>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</si>
  <si>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</si>
  <si>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</si>
  <si>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</si>
  <si>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</si>
  <si>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</si>
  <si>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</si>
  <si>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</si>
  <si>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</si>
  <si>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</si>
  <si>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</si>
  <si>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</si>
  <si>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</si>
  <si>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</si>
  <si>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</si>
  <si>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</si>
  <si>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</si>
  <si>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</si>
  <si>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</si>
  <si>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</si>
  <si>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</si>
  <si>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</si>
  <si>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</si>
  <si>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</si>
  <si>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</si>
  <si>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</si>
  <si>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</si>
  <si>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</si>
  <si>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</si>
  <si>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</si>
  <si>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</si>
  <si>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</si>
  <si>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</si>
  <si>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</si>
  <si>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</si>
  <si>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</si>
  <si>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</si>
  <si>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</si>
  <si>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הערכת רצינות לגבי החיים
התכונה מודדת עד כמה המשתמש ניגש לחיים בצורה אחראית, ממוקדת ומחויבת — עם שאיפות, מסגרת ועשייה, ועושה "את מה שצריך" — לעומת גישה קלילה, זורמת ופחות מחויבת.
אין קשר למידת הרצינות לגבי חיפוש קשר ווגם לא בהכרח לרצון להקים משפחה בעתיד</t>
  </si>
  <si>
    <t xml:space="preserve">
- לא מדובר בכובד או חוסר הומור  
- אדם יכול להיות קליל ונעים ועדיין מאוד רציני לגבי החיים  
- לא למדוד כאן אינטליגנציה או עומק  
- לא מדובר ברצון לקשר רציני, אלא רצינות כלפי החיים</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</si>
  <si>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</si>
  <si>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</si>
  <si>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</si>
  <si>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</si>
  <si>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</si>
  <si>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</si>
  <si>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</si>
  <si>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</si>
  <si>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</si>
  <si>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</si>
  <si>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</si>
  <si>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</si>
  <si>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</si>
  <si>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</si>
  <si>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</si>
  <si>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</si>
  <si>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</si>
  <si>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</si>
  <si>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</si>
  <si>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</si>
  <si>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</si>
  <si>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</si>
  <si>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</si>
  <si>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חוקים:
-אם זוהה מאפיין אחד מהרשימה באופן ברור → יש להחזיר אותו (גם אם זה היחיד)
- אם אין אינדיקציה ברורה → להחזיר ריק</t>
  </si>
  <si>
    <t>זיהוי יתרונות פוטנציאליים.
אין לתת ציון.
יש להחזיר:
1. רשימה של יתרונות מתוך רשימה מוגדרת בלבד
2. תיאור טקסטואלי קצר (אם יש מה להוסיף)
רשימת יתרונות אפשריים:
- has_pets (יש לו בעל חיים)
- has_children (יש ילדים)
- divorced (גרוש/ה)
- plays_music (מנגן)
- high_income (הכנסה גבוהה)
- high_education (השכלה גבוהה)
childfree (אל-הורי/ת – לא מעוניין/ת בילדים)
smoker (מעשנ/ת)
polyamorous (פוליאמורי/ת)
open_relationship (בזוגיות פתוחה)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</si>
  <si>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</si>
  <si>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</si>
  <si>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</si>
  <si>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</si>
  <si>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</si>
  <si>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</si>
  <si>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</si>
  <si>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</si>
  <si>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</si>
  <si>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</si>
  <si>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</si>
  <si>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</si>
  <si>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</si>
  <si>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</si>
  <si>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</si>
  <si>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</si>
  <si>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</si>
  <si>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</si>
  <si>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</si>
  <si>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</si>
  <si>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</si>
  <si>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</si>
  <si>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</si>
  <si>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</si>
  <si>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</si>
  <si>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</si>
  <si>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</si>
  <si>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</si>
  <si>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</si>
  <si>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</si>
  <si>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</si>
  <si>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</si>
  <si>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</si>
  <si>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</si>
  <si>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</si>
  <si>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</si>
  <si>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</si>
  <si>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</si>
  <si>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</si>
  <si>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</si>
  <si>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</si>
  <si>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</si>
  <si>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</si>
  <si>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</si>
  <si>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</si>
  <si>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</si>
  <si>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</si>
  <si>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</si>
  <si>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</si>
  <si>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</si>
  <si>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</si>
  <si>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</si>
  <si>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</si>
  <si>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</si>
  <si>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</si>
  <si>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</si>
  <si>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</si>
  <si>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</si>
  <si>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</si>
  <si>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</si>
  <si>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</si>
  <si>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</si>
  <si>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</si>
  <si>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</si>
  <si>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</si>
  <si>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</si>
  <si>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</si>
  <si>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</si>
  <si>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</si>
  <si>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</si>
  <si>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</si>
  <si>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</si>
  <si>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</si>
  <si>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</si>
  <si>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</si>
  <si>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</si>
  <si>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</si>
  <si>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</si>
  <si>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</si>
  <si>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</si>
  <si>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חזרה לשיחה</t>
  </si>
  <si>
    <t>לבחור שוב מלווה, ולהתנהג בהתאם - אם חדש -שיחה חדשה, אם ישן - כיף שחזרת ולהמשיך..</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</si>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</sst>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6">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29"/>
  <sheetViews>
    <sheetView rightToLeft="1" workbookViewId="0">
      <selection activeCell="A30" sqref="A30"/>
    </sheetView>
  </sheetViews>
  <sheetFormatPr defaultRowHeight="14.4"/>
  <cols>
    <col min="1" max="1" width="19.33203125" customWidth="1"/>
    <col min="2" max="2" width="18.33203125" customWidth="1"/>
    <col min="3" max="3" width="15.88671875" customWidth="1"/>
    <col min="4" max="4" width="50.44140625" customWidth="1"/>
  </cols>
  <sheetData>
    <row r="1" spans="1:4">
      <c r="A1" s="35" t="s">
        <v>398</v>
      </c>
      <c r="B1" s="35" t="s">
        <v>399</v>
      </c>
      <c r="C1" s="35" t="s">
        <v>89</v>
      </c>
      <c r="D1" s="35" t="s">
        <v>400</v>
      </c>
    </row>
    <row r="2" spans="1:4">
      <c r="A2" t="s">
        <v>401</v>
      </c>
      <c r="B2" t="s">
        <v>402</v>
      </c>
      <c r="C2" t="s">
        <v>405</v>
      </c>
    </row>
    <row r="3" spans="1:4">
      <c r="A3" t="s">
        <v>401</v>
      </c>
      <c r="B3" t="s">
        <v>404</v>
      </c>
      <c r="C3" t="s">
        <v>411</v>
      </c>
      <c r="D3" t="s">
        <v>406</v>
      </c>
    </row>
    <row r="4" spans="1:4">
      <c r="A4" t="s">
        <v>401</v>
      </c>
      <c r="B4" t="s">
        <v>403</v>
      </c>
      <c r="C4" t="s">
        <v>414</v>
      </c>
      <c r="D4" t="s">
        <v>407</v>
      </c>
    </row>
    <row r="5" spans="1:4">
      <c r="A5" t="s">
        <v>513</v>
      </c>
      <c r="B5" t="s">
        <v>514</v>
      </c>
      <c r="C5" t="s">
        <v>411</v>
      </c>
      <c r="D5" t="s">
        <v>515</v>
      </c>
    </row>
    <row r="6" spans="1:4">
      <c r="A6" t="s">
        <v>408</v>
      </c>
      <c r="C6" t="s">
        <v>405</v>
      </c>
    </row>
    <row r="7" spans="1:4">
      <c r="A7" t="s">
        <v>409</v>
      </c>
      <c r="B7" t="s">
        <v>410</v>
      </c>
      <c r="C7" t="s">
        <v>405</v>
      </c>
    </row>
    <row r="8" spans="1:4">
      <c r="A8" t="s">
        <v>409</v>
      </c>
      <c r="B8" t="s">
        <v>412</v>
      </c>
      <c r="C8" t="s">
        <v>405</v>
      </c>
    </row>
    <row r="9" spans="1:4">
      <c r="A9" t="s">
        <v>409</v>
      </c>
      <c r="B9" t="s">
        <v>413</v>
      </c>
      <c r="C9" s="14" t="s">
        <v>414</v>
      </c>
    </row>
    <row r="10" spans="1:4">
      <c r="A10" t="s">
        <v>418</v>
      </c>
      <c r="C10" t="s">
        <v>405</v>
      </c>
      <c r="D10" s="5"/>
    </row>
    <row r="11" spans="1:4">
      <c r="A11" t="s">
        <v>415</v>
      </c>
      <c r="B11" t="s">
        <v>416</v>
      </c>
      <c r="C11" t="s">
        <v>411</v>
      </c>
      <c r="D11" t="s">
        <v>417</v>
      </c>
    </row>
    <row r="12" spans="1:4">
      <c r="A12" t="s">
        <v>421</v>
      </c>
      <c r="B12" t="s">
        <v>673</v>
      </c>
      <c r="C12" t="s">
        <v>411</v>
      </c>
    </row>
    <row r="13" spans="1:4">
      <c r="A13" t="s">
        <v>674</v>
      </c>
      <c r="B13" t="s">
        <v>675</v>
      </c>
      <c r="C13" t="s">
        <v>405</v>
      </c>
    </row>
    <row r="14" spans="1:4">
      <c r="A14" t="s">
        <v>677</v>
      </c>
    </row>
    <row r="15" spans="1:4">
      <c r="A15" t="s">
        <v>415</v>
      </c>
      <c r="B15" t="s">
        <v>499</v>
      </c>
      <c r="C15" t="s">
        <v>411</v>
      </c>
      <c r="D15" t="s">
        <v>500</v>
      </c>
    </row>
    <row r="16" spans="1:4">
      <c r="A16" t="s">
        <v>415</v>
      </c>
      <c r="B16" t="s">
        <v>501</v>
      </c>
      <c r="C16" t="s">
        <v>502</v>
      </c>
    </row>
    <row r="17" spans="1:2">
      <c r="A17" t="s">
        <v>415</v>
      </c>
      <c r="B17" t="s">
        <v>508</v>
      </c>
    </row>
    <row r="18" spans="1:2">
      <c r="A18" t="s">
        <v>676</v>
      </c>
      <c r="B18" t="s">
        <v>503</v>
      </c>
    </row>
    <row r="19" spans="1:2">
      <c r="A19" t="s">
        <v>415</v>
      </c>
      <c r="B19" t="s">
        <v>504</v>
      </c>
    </row>
    <row r="20" spans="1:2">
      <c r="A20" t="s">
        <v>415</v>
      </c>
      <c r="B20" t="s">
        <v>505</v>
      </c>
    </row>
    <row r="21" spans="1:2">
      <c r="A21" t="s">
        <v>506</v>
      </c>
      <c r="B21" t="s">
        <v>507</v>
      </c>
    </row>
    <row r="22" spans="1:2">
      <c r="A22" t="s">
        <v>509</v>
      </c>
    </row>
    <row r="23" spans="1:2">
      <c r="A23" t="s">
        <v>510</v>
      </c>
    </row>
    <row r="24" spans="1:2">
      <c r="A24" t="s">
        <v>511</v>
      </c>
    </row>
    <row r="25" spans="1:2">
      <c r="A25" t="s">
        <v>512</v>
      </c>
    </row>
    <row r="28" spans="1:2">
      <c r="A28" t="s">
        <v>678</v>
      </c>
    </row>
    <row r="29" spans="1:2">
      <c r="A29" t="s">
        <v>679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15"/>
  <sheetViews>
    <sheetView rightToLeft="1" tabSelected="1" workbookViewId="0">
      <selection activeCell="B3" sqref="B3"/>
    </sheetView>
  </sheetViews>
  <sheetFormatPr defaultRowHeight="14.4"/>
  <cols>
    <col min="1" max="1" width="12.33203125" customWidth="1"/>
    <col min="2" max="2" width="39.21875" customWidth="1"/>
    <col min="4" max="4" width="48.44140625" customWidth="1"/>
  </cols>
  <sheetData>
    <row r="1" spans="1:4">
      <c r="A1" s="55" t="s">
        <v>398</v>
      </c>
      <c r="B1" s="55" t="s">
        <v>399</v>
      </c>
      <c r="C1" s="55" t="s">
        <v>89</v>
      </c>
      <c r="D1" s="55" t="s">
        <v>400</v>
      </c>
    </row>
    <row r="2" spans="1:4">
      <c r="A2" t="s">
        <v>680</v>
      </c>
      <c r="B2" t="s">
        <v>699</v>
      </c>
      <c r="C2" t="s">
        <v>411</v>
      </c>
    </row>
    <row r="3" spans="1:4">
      <c r="A3" t="s">
        <v>680</v>
      </c>
      <c r="B3" t="s">
        <v>681</v>
      </c>
    </row>
    <row r="4" spans="1:4">
      <c r="A4" t="s">
        <v>682</v>
      </c>
      <c r="B4" t="s">
        <v>683</v>
      </c>
    </row>
    <row r="5" spans="1:4">
      <c r="A5" t="s">
        <v>686</v>
      </c>
      <c r="B5" t="s">
        <v>685</v>
      </c>
    </row>
    <row r="6" spans="1:4">
      <c r="A6" t="s">
        <v>687</v>
      </c>
      <c r="B6" t="s">
        <v>684</v>
      </c>
    </row>
    <row r="7" spans="1:4">
      <c r="A7" t="s">
        <v>688</v>
      </c>
      <c r="B7" t="s">
        <v>689</v>
      </c>
    </row>
    <row r="8" spans="1:4">
      <c r="A8" t="s">
        <v>691</v>
      </c>
      <c r="B8" t="s">
        <v>690</v>
      </c>
    </row>
    <row r="9" spans="1:4">
      <c r="A9" t="s">
        <v>687</v>
      </c>
      <c r="B9" t="s">
        <v>692</v>
      </c>
    </row>
    <row r="10" spans="1:4">
      <c r="A10" t="s">
        <v>687</v>
      </c>
      <c r="B10" t="s">
        <v>693</v>
      </c>
    </row>
    <row r="11" spans="1:4">
      <c r="A11" t="s">
        <v>116</v>
      </c>
      <c r="B11" t="s">
        <v>696</v>
      </c>
    </row>
    <row r="12" spans="1:4">
      <c r="A12" t="s">
        <v>116</v>
      </c>
      <c r="B12" t="s">
        <v>694</v>
      </c>
    </row>
    <row r="13" spans="1:4">
      <c r="A13" t="s">
        <v>116</v>
      </c>
      <c r="B13" t="s">
        <v>695</v>
      </c>
    </row>
    <row r="14" spans="1:4">
      <c r="A14" t="s">
        <v>686</v>
      </c>
      <c r="B14" t="s">
        <v>697</v>
      </c>
    </row>
    <row r="15" spans="1:4">
      <c r="A15" t="s">
        <v>415</v>
      </c>
      <c r="B15" t="s">
        <v>698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107</v>
      </c>
      <c r="B1" s="8"/>
      <c r="C1" s="8"/>
      <c r="D1" s="8"/>
      <c r="E1" s="8"/>
      <c r="F1" s="8"/>
      <c r="G1" s="8"/>
      <c r="H1" s="8"/>
      <c r="I1" s="8"/>
    </row>
    <row r="3" spans="1:9">
      <c r="A3" s="10" t="s">
        <v>70</v>
      </c>
      <c r="B3" s="10" t="s">
        <v>71</v>
      </c>
      <c r="C3" s="10" t="s">
        <v>62</v>
      </c>
      <c r="D3" s="10" t="s">
        <v>2</v>
      </c>
      <c r="E3" s="10" t="s">
        <v>113</v>
      </c>
      <c r="F3" s="10" t="s">
        <v>124</v>
      </c>
      <c r="G3" s="10" t="s">
        <v>64</v>
      </c>
      <c r="H3" s="10" t="s">
        <v>250</v>
      </c>
      <c r="I3" s="10" t="s">
        <v>110</v>
      </c>
    </row>
    <row r="4" spans="1:9">
      <c r="A4" s="11" t="s">
        <v>74</v>
      </c>
      <c r="B4" s="11" t="s">
        <v>67</v>
      </c>
      <c r="D4" s="5"/>
      <c r="E4" s="11" t="s">
        <v>72</v>
      </c>
      <c r="F4" s="11"/>
      <c r="G4" s="11" t="s">
        <v>73</v>
      </c>
      <c r="H4" s="11"/>
      <c r="I4" s="8"/>
    </row>
    <row r="5" spans="1:9">
      <c r="A5" s="11" t="s">
        <v>76</v>
      </c>
      <c r="B5" s="11" t="s">
        <v>77</v>
      </c>
      <c r="C5" s="11" t="s">
        <v>8</v>
      </c>
      <c r="D5" s="5"/>
      <c r="E5" s="5" t="s">
        <v>114</v>
      </c>
      <c r="F5" s="5"/>
      <c r="G5" s="11" t="s">
        <v>75</v>
      </c>
      <c r="H5" s="11"/>
      <c r="I5" s="8"/>
    </row>
    <row r="6" spans="1:9" ht="43.2">
      <c r="A6" s="11" t="s">
        <v>78</v>
      </c>
      <c r="B6" s="11" t="s">
        <v>79</v>
      </c>
      <c r="C6" s="11" t="s">
        <v>8</v>
      </c>
      <c r="D6" s="5"/>
      <c r="E6" s="5" t="s">
        <v>114</v>
      </c>
      <c r="F6" s="5" t="s">
        <v>125</v>
      </c>
      <c r="G6" s="11" t="s">
        <v>78</v>
      </c>
      <c r="H6" s="11" t="s">
        <v>287</v>
      </c>
      <c r="I6" s="5"/>
    </row>
    <row r="7" spans="1:9" ht="43.2">
      <c r="A7" s="11" t="s">
        <v>80</v>
      </c>
      <c r="B7" s="11" t="s">
        <v>81</v>
      </c>
      <c r="C7" s="11" t="s">
        <v>8</v>
      </c>
      <c r="D7" s="5" t="s">
        <v>108</v>
      </c>
      <c r="E7" s="5" t="s">
        <v>114</v>
      </c>
      <c r="F7" s="5" t="s">
        <v>125</v>
      </c>
      <c r="G7" s="11" t="s">
        <v>80</v>
      </c>
      <c r="H7" s="11" t="s">
        <v>288</v>
      </c>
      <c r="I7" s="5" t="s">
        <v>273</v>
      </c>
    </row>
    <row r="8" spans="1:9" ht="72">
      <c r="A8" s="11" t="s">
        <v>83</v>
      </c>
      <c r="B8" s="11" t="s">
        <v>84</v>
      </c>
      <c r="C8" s="11" t="s">
        <v>8</v>
      </c>
      <c r="D8" s="5" t="s">
        <v>109</v>
      </c>
      <c r="E8" s="5" t="s">
        <v>114</v>
      </c>
      <c r="F8" s="5" t="s">
        <v>125</v>
      </c>
      <c r="G8" s="11" t="s">
        <v>82</v>
      </c>
      <c r="H8" s="11" t="s">
        <v>251</v>
      </c>
      <c r="I8" s="11" t="s">
        <v>294</v>
      </c>
    </row>
    <row r="9" spans="1:9" ht="28.8">
      <c r="A9" s="11" t="s">
        <v>111</v>
      </c>
      <c r="B9" s="11" t="s">
        <v>112</v>
      </c>
      <c r="C9" s="11" t="s">
        <v>8</v>
      </c>
      <c r="D9" s="5"/>
      <c r="E9" s="5" t="s">
        <v>115</v>
      </c>
      <c r="F9" s="5" t="s">
        <v>125</v>
      </c>
      <c r="G9" s="11" t="s">
        <v>111</v>
      </c>
      <c r="H9" s="11"/>
      <c r="I9" s="11" t="s">
        <v>295</v>
      </c>
    </row>
    <row r="10" spans="1:9" ht="100.8">
      <c r="A10" s="11" t="s">
        <v>85</v>
      </c>
      <c r="B10" s="11" t="s">
        <v>86</v>
      </c>
      <c r="C10" s="11" t="s">
        <v>8</v>
      </c>
      <c r="D10" s="5"/>
      <c r="E10" s="5" t="s">
        <v>114</v>
      </c>
      <c r="F10" s="5"/>
      <c r="G10" s="11" t="s">
        <v>85</v>
      </c>
      <c r="H10" s="11" t="s">
        <v>269</v>
      </c>
      <c r="I10" s="5"/>
    </row>
    <row r="11" spans="1:9" ht="43.2">
      <c r="A11" s="11" t="s">
        <v>68</v>
      </c>
      <c r="B11" s="11" t="s">
        <v>87</v>
      </c>
      <c r="C11" s="11" t="s">
        <v>8</v>
      </c>
      <c r="D11" s="5"/>
      <c r="E11" s="5" t="s">
        <v>114</v>
      </c>
      <c r="F11" s="5" t="s">
        <v>126</v>
      </c>
      <c r="G11" s="11" t="s">
        <v>68</v>
      </c>
      <c r="H11" s="11" t="s">
        <v>289</v>
      </c>
      <c r="I11" s="5"/>
    </row>
    <row r="12" spans="1:9" ht="72">
      <c r="A12" s="11" t="s">
        <v>89</v>
      </c>
      <c r="B12" s="11" t="s">
        <v>90</v>
      </c>
      <c r="D12" s="5" t="s">
        <v>280</v>
      </c>
      <c r="E12" s="11" t="s">
        <v>116</v>
      </c>
      <c r="F12" s="11" t="s">
        <v>270</v>
      </c>
      <c r="G12" s="11" t="s">
        <v>88</v>
      </c>
      <c r="H12" s="31"/>
      <c r="I12" s="30" t="s">
        <v>281</v>
      </c>
    </row>
    <row r="13" spans="1:9" ht="43.2">
      <c r="A13" s="11" t="s">
        <v>92</v>
      </c>
      <c r="B13" s="11" t="s">
        <v>93</v>
      </c>
      <c r="D13" s="5"/>
      <c r="E13" s="11" t="s">
        <v>72</v>
      </c>
      <c r="F13" s="11" t="s">
        <v>270</v>
      </c>
      <c r="G13" s="11" t="s">
        <v>91</v>
      </c>
      <c r="H13" s="11"/>
      <c r="I13" s="8"/>
    </row>
    <row r="14" spans="1:9" ht="115.2">
      <c r="A14" s="11" t="s">
        <v>94</v>
      </c>
      <c r="B14" s="11" t="s">
        <v>95</v>
      </c>
      <c r="D14" s="5"/>
      <c r="E14" s="11" t="s">
        <v>116</v>
      </c>
      <c r="F14" s="11" t="s">
        <v>270</v>
      </c>
      <c r="G14" s="11" t="s">
        <v>290</v>
      </c>
      <c r="H14" s="11" t="s">
        <v>356</v>
      </c>
      <c r="I14" s="11"/>
    </row>
    <row r="15" spans="1:9" ht="28.8">
      <c r="A15" s="11" t="s">
        <v>96</v>
      </c>
      <c r="B15" s="11" t="s">
        <v>97</v>
      </c>
      <c r="C15" s="11" t="s">
        <v>9</v>
      </c>
      <c r="D15" s="5"/>
      <c r="E15" s="5" t="s">
        <v>116</v>
      </c>
      <c r="F15" s="5" t="s">
        <v>128</v>
      </c>
      <c r="G15" s="11" t="s">
        <v>291</v>
      </c>
      <c r="H15" s="11"/>
      <c r="I15" s="11"/>
    </row>
    <row r="16" spans="1:9">
      <c r="A16" s="11" t="s">
        <v>99</v>
      </c>
      <c r="B16" s="11" t="s">
        <v>100</v>
      </c>
      <c r="C16" s="11" t="s">
        <v>8</v>
      </c>
      <c r="D16" s="5"/>
      <c r="E16" s="5" t="s">
        <v>72</v>
      </c>
      <c r="F16" s="5"/>
      <c r="G16" s="11" t="s">
        <v>98</v>
      </c>
      <c r="H16" s="11"/>
      <c r="I16" s="30" t="s">
        <v>272</v>
      </c>
    </row>
    <row r="17" spans="1:9">
      <c r="A17" s="11" t="s">
        <v>102</v>
      </c>
      <c r="B17" s="11" t="s">
        <v>103</v>
      </c>
      <c r="C17" s="11"/>
      <c r="D17" s="5"/>
      <c r="E17" s="5" t="s">
        <v>72</v>
      </c>
      <c r="F17" s="5"/>
      <c r="G17" s="11" t="s">
        <v>101</v>
      </c>
      <c r="H17" s="11"/>
      <c r="I17" s="8"/>
    </row>
    <row r="18" spans="1:9" ht="86.4">
      <c r="A18" s="11" t="s">
        <v>56</v>
      </c>
      <c r="B18" s="11" t="s">
        <v>55</v>
      </c>
      <c r="C18" s="11" t="s">
        <v>9</v>
      </c>
      <c r="D18" s="11"/>
      <c r="E18" s="11" t="s">
        <v>116</v>
      </c>
      <c r="F18" s="11" t="s">
        <v>271</v>
      </c>
      <c r="G18" s="11" t="s">
        <v>331</v>
      </c>
      <c r="H18" s="11"/>
      <c r="I18" s="30"/>
    </row>
    <row r="19" spans="1:9" ht="57.6">
      <c r="A19" s="11" t="s">
        <v>57</v>
      </c>
      <c r="B19" s="11" t="s">
        <v>310</v>
      </c>
      <c r="C19" s="11" t="s">
        <v>9</v>
      </c>
      <c r="D19" s="11"/>
      <c r="E19" s="11" t="s">
        <v>116</v>
      </c>
      <c r="F19" s="11" t="s">
        <v>129</v>
      </c>
      <c r="G19" s="11" t="s">
        <v>330</v>
      </c>
      <c r="H19" s="11" t="s">
        <v>332</v>
      </c>
      <c r="I19" s="30"/>
    </row>
    <row r="20" spans="1:9" ht="57.6">
      <c r="A20" s="11" t="s">
        <v>121</v>
      </c>
      <c r="B20" s="11" t="s">
        <v>123</v>
      </c>
      <c r="C20" s="11" t="s">
        <v>9</v>
      </c>
      <c r="E20" s="5" t="s">
        <v>122</v>
      </c>
      <c r="F20" s="5" t="s">
        <v>130</v>
      </c>
      <c r="G20" s="11" t="s">
        <v>293</v>
      </c>
      <c r="H20" s="11" t="s">
        <v>357</v>
      </c>
      <c r="I20" s="11" t="s">
        <v>292</v>
      </c>
    </row>
    <row r="21" spans="1:9">
      <c r="A21" s="11" t="s">
        <v>283</v>
      </c>
    </row>
    <row r="22" spans="1:9">
      <c r="A22" s="11" t="s">
        <v>284</v>
      </c>
    </row>
    <row r="23" spans="1:9" ht="28.8">
      <c r="A23" s="11" t="s">
        <v>285</v>
      </c>
    </row>
    <row r="24" spans="1:9">
      <c r="A24" s="11" t="s">
        <v>286</v>
      </c>
    </row>
    <row r="25" spans="1:9">
      <c r="A25" s="11" t="s">
        <v>104</v>
      </c>
      <c r="B25" s="12" t="s">
        <v>117</v>
      </c>
      <c r="C25" s="12"/>
      <c r="D25" s="12"/>
      <c r="E25" s="12" t="s">
        <v>115</v>
      </c>
      <c r="F25" s="12"/>
      <c r="G25" s="11" t="s">
        <v>106</v>
      </c>
    </row>
    <row r="26" spans="1:9">
      <c r="A26" s="11" t="s">
        <v>105</v>
      </c>
      <c r="B26" s="12" t="s">
        <v>118</v>
      </c>
      <c r="C26" s="12"/>
      <c r="D26" s="12"/>
      <c r="E26" s="12" t="s">
        <v>115</v>
      </c>
      <c r="F26" s="12"/>
      <c r="G26" s="11" t="s">
        <v>106</v>
      </c>
    </row>
    <row r="27" spans="1:9" ht="28.8">
      <c r="A27" s="11" t="s">
        <v>358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rightToLeft="1" zoomScale="75" zoomScaleNormal="75" workbookViewId="0">
      <selection activeCell="A3" sqref="A3"/>
    </sheetView>
  </sheetViews>
  <sheetFormatPr defaultRowHeight="14.4"/>
  <cols>
    <col min="1" max="1" width="17.21875" customWidth="1"/>
    <col min="2" max="2" width="20.5546875" style="38" customWidth="1"/>
    <col min="3" max="3" width="17.109375" customWidth="1"/>
    <col min="4" max="4" width="71.33203125" style="5" customWidth="1"/>
    <col min="7" max="7" width="12.109375" customWidth="1"/>
    <col min="8" max="8" width="17.77734375" customWidth="1"/>
    <col min="9" max="9" width="12" customWidth="1"/>
    <col min="10" max="10" width="15.33203125" customWidth="1"/>
    <col min="11" max="11" width="40.6640625" customWidth="1"/>
  </cols>
  <sheetData>
    <row r="1" spans="1:11">
      <c r="A1" s="4" t="s">
        <v>63</v>
      </c>
    </row>
    <row r="2" spans="1:11">
      <c r="A2" s="28" t="s">
        <v>210</v>
      </c>
    </row>
    <row r="4" spans="1:11" ht="27.6">
      <c r="A4" s="9" t="s">
        <v>7</v>
      </c>
      <c r="B4" s="39" t="s">
        <v>6</v>
      </c>
      <c r="C4" s="9" t="s">
        <v>422</v>
      </c>
      <c r="D4" s="9" t="s">
        <v>5</v>
      </c>
      <c r="E4" s="9" t="s">
        <v>3</v>
      </c>
      <c r="F4" s="9" t="s">
        <v>4</v>
      </c>
      <c r="G4" s="9" t="s">
        <v>62</v>
      </c>
      <c r="H4" s="9" t="s">
        <v>0</v>
      </c>
      <c r="I4" s="9" t="s">
        <v>161</v>
      </c>
      <c r="J4" s="9" t="s">
        <v>162</v>
      </c>
      <c r="K4" s="9" t="s">
        <v>110</v>
      </c>
    </row>
    <row r="5" spans="1:11" ht="409.6">
      <c r="A5" s="37" t="s">
        <v>425</v>
      </c>
      <c r="B5" s="40" t="s">
        <v>426</v>
      </c>
      <c r="C5" s="2" t="s">
        <v>424</v>
      </c>
      <c r="D5" s="3" t="s">
        <v>516</v>
      </c>
      <c r="E5" s="2">
        <v>0.7</v>
      </c>
      <c r="F5" s="2">
        <v>10</v>
      </c>
      <c r="G5" s="3" t="s">
        <v>9</v>
      </c>
      <c r="H5" s="3" t="s">
        <v>8</v>
      </c>
      <c r="I5" s="2">
        <v>20</v>
      </c>
      <c r="J5" s="2" t="s">
        <v>163</v>
      </c>
      <c r="K5" s="21" t="s">
        <v>224</v>
      </c>
    </row>
    <row r="6" spans="1:11" ht="409.6">
      <c r="A6" s="17" t="s">
        <v>423</v>
      </c>
      <c r="B6" s="40" t="s">
        <v>441</v>
      </c>
      <c r="C6" s="2" t="s">
        <v>424</v>
      </c>
      <c r="D6" s="3" t="s">
        <v>444</v>
      </c>
      <c r="E6" s="2">
        <v>0.6</v>
      </c>
      <c r="F6" s="2">
        <v>7</v>
      </c>
      <c r="G6" s="3" t="s">
        <v>8</v>
      </c>
      <c r="H6" s="3"/>
      <c r="I6" s="2"/>
      <c r="J6" s="2"/>
      <c r="K6" s="21"/>
    </row>
    <row r="7" spans="1:11" ht="409.6">
      <c r="A7" s="3" t="s">
        <v>481</v>
      </c>
      <c r="B7" s="40"/>
      <c r="C7" s="2" t="s">
        <v>434</v>
      </c>
      <c r="D7" s="3" t="s">
        <v>517</v>
      </c>
      <c r="E7" s="2">
        <v>0.7</v>
      </c>
      <c r="F7" s="2">
        <v>9</v>
      </c>
      <c r="G7" s="3" t="s">
        <v>9</v>
      </c>
      <c r="H7" s="3"/>
      <c r="I7" s="2"/>
      <c r="J7" s="2" t="s">
        <v>482</v>
      </c>
      <c r="K7" s="21"/>
    </row>
    <row r="8" spans="1:11" ht="409.6">
      <c r="A8" s="17" t="s">
        <v>10</v>
      </c>
      <c r="B8" s="40" t="s">
        <v>440</v>
      </c>
      <c r="C8" s="2" t="s">
        <v>434</v>
      </c>
      <c r="D8" s="3" t="s">
        <v>445</v>
      </c>
      <c r="E8" s="2">
        <v>0.6</v>
      </c>
      <c r="F8" s="2">
        <v>7</v>
      </c>
      <c r="G8" s="3" t="s">
        <v>8</v>
      </c>
      <c r="H8" s="3" t="s">
        <v>8</v>
      </c>
      <c r="J8" s="2" t="s">
        <v>164</v>
      </c>
    </row>
    <row r="9" spans="1:11" ht="409.6">
      <c r="A9" s="3" t="s">
        <v>12</v>
      </c>
      <c r="B9" s="40" t="s">
        <v>11</v>
      </c>
      <c r="C9" s="2" t="s">
        <v>435</v>
      </c>
      <c r="D9" s="3" t="s">
        <v>446</v>
      </c>
      <c r="E9" s="2">
        <v>0.7</v>
      </c>
      <c r="F9" s="2">
        <v>8</v>
      </c>
      <c r="G9" s="3" t="s">
        <v>8</v>
      </c>
      <c r="H9" s="3" t="s">
        <v>8</v>
      </c>
      <c r="J9" s="2" t="s">
        <v>165</v>
      </c>
    </row>
    <row r="10" spans="1:11" ht="409.6">
      <c r="A10" s="3" t="s">
        <v>16</v>
      </c>
      <c r="B10" s="40" t="s">
        <v>15</v>
      </c>
      <c r="C10" s="2" t="s">
        <v>436</v>
      </c>
      <c r="D10" s="3" t="s">
        <v>447</v>
      </c>
      <c r="E10" s="2">
        <v>0.6</v>
      </c>
      <c r="F10" s="2">
        <v>6</v>
      </c>
      <c r="G10" s="3" t="s">
        <v>14</v>
      </c>
      <c r="H10" s="3" t="s">
        <v>8</v>
      </c>
      <c r="J10" s="2" t="s">
        <v>164</v>
      </c>
    </row>
    <row r="11" spans="1:11" ht="409.6">
      <c r="A11" s="3" t="s">
        <v>428</v>
      </c>
      <c r="B11" s="40" t="s">
        <v>17</v>
      </c>
      <c r="C11" s="2" t="s">
        <v>434</v>
      </c>
      <c r="D11" s="3" t="s">
        <v>519</v>
      </c>
      <c r="E11" s="2">
        <v>0.4</v>
      </c>
      <c r="F11" s="2">
        <v>4</v>
      </c>
      <c r="G11" s="3" t="s">
        <v>8</v>
      </c>
      <c r="H11" s="3" t="s">
        <v>8</v>
      </c>
      <c r="J11" s="2" t="s">
        <v>164</v>
      </c>
    </row>
    <row r="12" spans="1:11" ht="409.6">
      <c r="A12" s="3" t="s">
        <v>18</v>
      </c>
      <c r="B12" s="40" t="s">
        <v>429</v>
      </c>
      <c r="C12" s="2" t="s">
        <v>436</v>
      </c>
      <c r="D12" s="3" t="s">
        <v>448</v>
      </c>
      <c r="E12" s="2">
        <v>0.5</v>
      </c>
      <c r="F12" s="2">
        <v>5</v>
      </c>
      <c r="G12" s="3" t="s">
        <v>8</v>
      </c>
      <c r="H12" s="3" t="s">
        <v>8</v>
      </c>
      <c r="J12" s="2"/>
    </row>
    <row r="13" spans="1:11" ht="409.6">
      <c r="A13" s="3" t="s">
        <v>22</v>
      </c>
      <c r="B13" s="40" t="s">
        <v>347</v>
      </c>
      <c r="C13" s="2" t="s">
        <v>437</v>
      </c>
      <c r="D13" s="3" t="s">
        <v>449</v>
      </c>
      <c r="E13" s="2">
        <v>0.4</v>
      </c>
      <c r="F13" s="2">
        <v>2</v>
      </c>
      <c r="G13" s="3" t="s">
        <v>8</v>
      </c>
      <c r="H13" s="3" t="s">
        <v>8</v>
      </c>
      <c r="J13" s="2"/>
    </row>
    <row r="14" spans="1:11" ht="409.6">
      <c r="A14" s="3" t="s">
        <v>26</v>
      </c>
      <c r="B14" s="40" t="s">
        <v>25</v>
      </c>
      <c r="C14" s="2" t="s">
        <v>437</v>
      </c>
      <c r="D14" s="3" t="s">
        <v>450</v>
      </c>
      <c r="E14" s="2">
        <v>0.5</v>
      </c>
      <c r="F14" s="2">
        <v>3</v>
      </c>
      <c r="G14" s="3" t="s">
        <v>8</v>
      </c>
      <c r="H14" s="3" t="s">
        <v>8</v>
      </c>
      <c r="J14" s="2"/>
    </row>
    <row r="15" spans="1:11" ht="409.6">
      <c r="A15" s="3" t="s">
        <v>451</v>
      </c>
      <c r="B15" s="40"/>
      <c r="C15" s="2" t="s">
        <v>424</v>
      </c>
      <c r="D15" s="3" t="s">
        <v>452</v>
      </c>
      <c r="E15" s="2"/>
      <c r="F15" s="2"/>
      <c r="G15" s="3"/>
      <c r="H15" s="3"/>
      <c r="J15" s="2"/>
    </row>
    <row r="16" spans="1:11" ht="409.6">
      <c r="A16" s="3" t="s">
        <v>28</v>
      </c>
      <c r="B16" s="40" t="s">
        <v>27</v>
      </c>
      <c r="C16" s="2" t="s">
        <v>437</v>
      </c>
      <c r="D16" s="3" t="s">
        <v>453</v>
      </c>
      <c r="E16" s="2">
        <v>0.6</v>
      </c>
      <c r="F16" s="2">
        <v>5</v>
      </c>
      <c r="G16" s="3" t="s">
        <v>8</v>
      </c>
      <c r="H16" s="3" t="s">
        <v>8</v>
      </c>
      <c r="J16" s="2"/>
    </row>
    <row r="17" spans="1:11" ht="409.6">
      <c r="A17" s="3" t="s">
        <v>32</v>
      </c>
      <c r="B17" s="40" t="s">
        <v>31</v>
      </c>
      <c r="C17" s="2" t="s">
        <v>434</v>
      </c>
      <c r="D17" s="3" t="s">
        <v>454</v>
      </c>
      <c r="E17" s="2">
        <v>0.7</v>
      </c>
      <c r="F17" s="2">
        <v>6</v>
      </c>
      <c r="G17" s="3" t="s">
        <v>8</v>
      </c>
      <c r="H17" s="3" t="s">
        <v>8</v>
      </c>
      <c r="J17" s="2" t="s">
        <v>164</v>
      </c>
      <c r="K17" s="5" t="s">
        <v>349</v>
      </c>
    </row>
    <row r="18" spans="1:11" ht="409.6">
      <c r="A18" s="3" t="s">
        <v>33</v>
      </c>
      <c r="B18" s="40" t="s">
        <v>34</v>
      </c>
      <c r="C18" s="2" t="s">
        <v>424</v>
      </c>
      <c r="D18" s="3" t="s">
        <v>458</v>
      </c>
      <c r="E18" s="2">
        <v>0.7</v>
      </c>
      <c r="F18" s="2">
        <v>9</v>
      </c>
      <c r="G18" s="3" t="s">
        <v>8</v>
      </c>
      <c r="H18" s="3" t="s">
        <v>8</v>
      </c>
      <c r="J18" s="2"/>
    </row>
    <row r="19" spans="1:11" ht="409.6">
      <c r="A19" s="3" t="s">
        <v>36</v>
      </c>
      <c r="B19" s="40" t="s">
        <v>35</v>
      </c>
      <c r="C19" s="2" t="s">
        <v>437</v>
      </c>
      <c r="D19" s="3" t="s">
        <v>455</v>
      </c>
      <c r="E19" s="2">
        <v>0.5</v>
      </c>
      <c r="F19" s="2">
        <v>4</v>
      </c>
      <c r="G19" s="3" t="s">
        <v>8</v>
      </c>
      <c r="H19" s="3" t="s">
        <v>8</v>
      </c>
      <c r="J19" s="2"/>
      <c r="K19" t="s">
        <v>346</v>
      </c>
    </row>
    <row r="20" spans="1:11" ht="409.6">
      <c r="A20" s="3" t="s">
        <v>38</v>
      </c>
      <c r="B20" s="40" t="s">
        <v>37</v>
      </c>
      <c r="C20" s="2" t="s">
        <v>438</v>
      </c>
      <c r="D20" s="3" t="s">
        <v>456</v>
      </c>
      <c r="E20" s="2">
        <v>0.6</v>
      </c>
      <c r="F20" s="2">
        <v>4</v>
      </c>
      <c r="G20" s="3" t="s">
        <v>8</v>
      </c>
      <c r="H20" s="2"/>
      <c r="J20" s="2"/>
    </row>
    <row r="21" spans="1:11" ht="409.6">
      <c r="A21" s="17" t="s">
        <v>39</v>
      </c>
      <c r="B21" s="40" t="s">
        <v>40</v>
      </c>
      <c r="C21" s="2" t="s">
        <v>438</v>
      </c>
      <c r="D21" s="3" t="s">
        <v>457</v>
      </c>
      <c r="E21" s="2">
        <v>0.6</v>
      </c>
      <c r="F21" s="2">
        <v>4</v>
      </c>
      <c r="G21" s="3" t="s">
        <v>14</v>
      </c>
      <c r="H21" s="2"/>
      <c r="J21" s="2"/>
    </row>
    <row r="22" spans="1:11" ht="409.6">
      <c r="A22" s="3" t="s">
        <v>42</v>
      </c>
      <c r="B22" s="40" t="s">
        <v>41</v>
      </c>
      <c r="C22" s="2" t="s">
        <v>435</v>
      </c>
      <c r="D22" s="3" t="s">
        <v>459</v>
      </c>
      <c r="E22" s="2">
        <v>0.4</v>
      </c>
      <c r="F22" s="2">
        <v>3</v>
      </c>
      <c r="G22" s="3" t="s">
        <v>8</v>
      </c>
      <c r="H22" s="2"/>
      <c r="J22" s="2"/>
    </row>
    <row r="23" spans="1:11" ht="409.6">
      <c r="A23" s="3" t="s">
        <v>44</v>
      </c>
      <c r="B23" s="40" t="s">
        <v>43</v>
      </c>
      <c r="C23" s="2" t="s">
        <v>435</v>
      </c>
      <c r="D23" s="3" t="s">
        <v>460</v>
      </c>
      <c r="E23" s="2">
        <v>0.4</v>
      </c>
      <c r="F23" s="2">
        <v>3</v>
      </c>
      <c r="G23" s="3" t="s">
        <v>14</v>
      </c>
      <c r="H23" s="2"/>
      <c r="J23" s="2"/>
    </row>
    <row r="24" spans="1:11" ht="409.6">
      <c r="A24" s="3" t="s">
        <v>46</v>
      </c>
      <c r="B24" s="40" t="s">
        <v>45</v>
      </c>
      <c r="C24" s="2" t="s">
        <v>435</v>
      </c>
      <c r="D24" s="3" t="s">
        <v>461</v>
      </c>
      <c r="E24" s="2">
        <v>0.6</v>
      </c>
      <c r="F24" s="2">
        <v>6</v>
      </c>
      <c r="G24" s="3" t="s">
        <v>14</v>
      </c>
      <c r="H24" s="2"/>
      <c r="J24" s="2"/>
    </row>
    <row r="25" spans="1:11" ht="409.6">
      <c r="A25" s="17" t="s">
        <v>48</v>
      </c>
      <c r="B25" s="40" t="s">
        <v>47</v>
      </c>
      <c r="C25" s="2" t="s">
        <v>435</v>
      </c>
      <c r="D25" s="3" t="s">
        <v>462</v>
      </c>
      <c r="E25" s="2">
        <v>0.6</v>
      </c>
      <c r="F25" s="2">
        <v>7</v>
      </c>
      <c r="G25" s="3" t="s">
        <v>8</v>
      </c>
      <c r="H25" s="2"/>
      <c r="J25" s="2"/>
    </row>
    <row r="26" spans="1:11" ht="409.6">
      <c r="A26" s="3" t="s">
        <v>359</v>
      </c>
      <c r="B26" s="40" t="s">
        <v>49</v>
      </c>
      <c r="C26" s="2" t="s">
        <v>438</v>
      </c>
      <c r="D26" s="3" t="s">
        <v>463</v>
      </c>
      <c r="E26" s="2">
        <v>0.6</v>
      </c>
      <c r="F26" s="2">
        <v>7</v>
      </c>
      <c r="G26" s="3" t="s">
        <v>9</v>
      </c>
      <c r="H26" s="2"/>
      <c r="J26" s="2" t="s">
        <v>348</v>
      </c>
      <c r="K26" t="s">
        <v>13</v>
      </c>
    </row>
    <row r="27" spans="1:11" ht="409.6">
      <c r="A27" s="3" t="s">
        <v>50</v>
      </c>
      <c r="B27" s="40" t="s">
        <v>51</v>
      </c>
      <c r="C27" s="2" t="s">
        <v>436</v>
      </c>
      <c r="D27" s="3" t="s">
        <v>520</v>
      </c>
      <c r="E27" s="2">
        <v>0.6</v>
      </c>
      <c r="F27" s="2">
        <v>5</v>
      </c>
      <c r="G27" s="3" t="s">
        <v>14</v>
      </c>
      <c r="H27" s="2"/>
      <c r="J27" s="2"/>
    </row>
    <row r="28" spans="1:11" ht="409.6">
      <c r="A28" s="3" t="s">
        <v>339</v>
      </c>
      <c r="C28" s="2" t="s">
        <v>438</v>
      </c>
      <c r="D28" s="3" t="s">
        <v>464</v>
      </c>
      <c r="E28" s="2">
        <v>0.2</v>
      </c>
      <c r="F28" s="2">
        <v>3</v>
      </c>
      <c r="G28" s="3" t="s">
        <v>14</v>
      </c>
      <c r="J28" s="2"/>
    </row>
    <row r="29" spans="1:11" ht="409.6">
      <c r="A29" s="3" t="s">
        <v>344</v>
      </c>
      <c r="C29" s="2" t="s">
        <v>438</v>
      </c>
      <c r="D29" s="3" t="s">
        <v>518</v>
      </c>
      <c r="E29" s="2">
        <v>0.4</v>
      </c>
      <c r="F29" s="2">
        <v>4</v>
      </c>
      <c r="G29" s="3" t="s">
        <v>9</v>
      </c>
    </row>
    <row r="30" spans="1:11" ht="409.6">
      <c r="A30" s="3" t="s">
        <v>340</v>
      </c>
      <c r="C30" s="2" t="s">
        <v>436</v>
      </c>
      <c r="D30" s="3" t="s">
        <v>465</v>
      </c>
      <c r="E30" s="2">
        <v>0.2</v>
      </c>
      <c r="F30" s="2">
        <v>2</v>
      </c>
      <c r="G30" s="3" t="s">
        <v>14</v>
      </c>
    </row>
    <row r="31" spans="1:11" ht="409.6">
      <c r="A31" s="3" t="s">
        <v>342</v>
      </c>
      <c r="C31" s="2" t="s">
        <v>438</v>
      </c>
      <c r="D31" s="3" t="s">
        <v>466</v>
      </c>
      <c r="E31" s="2">
        <v>0.2</v>
      </c>
      <c r="F31" s="2">
        <v>2</v>
      </c>
      <c r="G31" s="3" t="s">
        <v>14</v>
      </c>
    </row>
    <row r="32" spans="1:11" ht="409.6">
      <c r="A32" s="33" t="s">
        <v>343</v>
      </c>
      <c r="C32" s="2" t="s">
        <v>438</v>
      </c>
      <c r="D32" s="3" t="s">
        <v>467</v>
      </c>
      <c r="E32" s="2">
        <v>0.5</v>
      </c>
      <c r="F32" s="2">
        <v>4</v>
      </c>
      <c r="G32" s="3" t="s">
        <v>8</v>
      </c>
    </row>
    <row r="33" spans="1:11" ht="409.6">
      <c r="A33" s="3" t="s">
        <v>54</v>
      </c>
      <c r="B33" s="40" t="s">
        <v>53</v>
      </c>
      <c r="C33" s="2" t="s">
        <v>435</v>
      </c>
      <c r="D33" s="3" t="s">
        <v>468</v>
      </c>
      <c r="E33" s="2">
        <v>0.2</v>
      </c>
      <c r="F33" s="2"/>
      <c r="G33" s="3" t="s">
        <v>9</v>
      </c>
      <c r="H33" s="3" t="s">
        <v>52</v>
      </c>
      <c r="J33" s="2"/>
    </row>
    <row r="34" spans="1:11" ht="409.6">
      <c r="A34" s="3" t="s">
        <v>392</v>
      </c>
      <c r="C34" s="2" t="s">
        <v>434</v>
      </c>
      <c r="D34" s="3" t="s">
        <v>469</v>
      </c>
      <c r="E34" s="2">
        <v>0.2</v>
      </c>
      <c r="F34" s="2">
        <v>4</v>
      </c>
      <c r="G34" s="3" t="s">
        <v>9</v>
      </c>
    </row>
    <row r="35" spans="1:11" ht="409.6">
      <c r="A35" s="17" t="s">
        <v>395</v>
      </c>
      <c r="C35" s="2" t="s">
        <v>434</v>
      </c>
      <c r="D35" s="3" t="s">
        <v>470</v>
      </c>
      <c r="E35" s="2">
        <v>0.2</v>
      </c>
      <c r="F35" s="2">
        <v>3</v>
      </c>
      <c r="G35" s="3" t="s">
        <v>8</v>
      </c>
    </row>
    <row r="36" spans="1:11" ht="409.6">
      <c r="A36" s="3" t="s">
        <v>393</v>
      </c>
      <c r="C36" s="2" t="s">
        <v>434</v>
      </c>
      <c r="D36" s="3" t="s">
        <v>471</v>
      </c>
      <c r="E36" s="2">
        <v>0.4</v>
      </c>
      <c r="F36" s="2">
        <v>6</v>
      </c>
      <c r="G36" s="3" t="s">
        <v>9</v>
      </c>
    </row>
    <row r="37" spans="1:11" ht="409.6">
      <c r="A37" s="3" t="s">
        <v>431</v>
      </c>
      <c r="C37" s="2" t="s">
        <v>434</v>
      </c>
      <c r="D37" s="3" t="s">
        <v>472</v>
      </c>
      <c r="E37" s="2">
        <v>0.2</v>
      </c>
      <c r="F37" s="2">
        <v>4</v>
      </c>
      <c r="G37" s="3" t="s">
        <v>9</v>
      </c>
    </row>
    <row r="38" spans="1:11" ht="409.6">
      <c r="A38" s="3" t="s">
        <v>341</v>
      </c>
      <c r="C38" s="2" t="s">
        <v>434</v>
      </c>
      <c r="D38" s="3" t="s">
        <v>473</v>
      </c>
      <c r="E38" s="2">
        <v>0.2</v>
      </c>
      <c r="F38" s="2">
        <v>3</v>
      </c>
      <c r="G38" s="3" t="s">
        <v>8</v>
      </c>
    </row>
    <row r="39" spans="1:11" ht="409.6">
      <c r="A39" s="3" t="s">
        <v>396</v>
      </c>
      <c r="C39" s="2" t="s">
        <v>434</v>
      </c>
      <c r="D39" s="3" t="s">
        <v>474</v>
      </c>
      <c r="E39" s="2">
        <v>0.2</v>
      </c>
      <c r="F39" s="2">
        <v>3</v>
      </c>
      <c r="G39" s="3" t="s">
        <v>9</v>
      </c>
    </row>
    <row r="40" spans="1:11" ht="409.6">
      <c r="A40" s="3" t="s">
        <v>61</v>
      </c>
      <c r="B40" s="40" t="s">
        <v>60</v>
      </c>
      <c r="C40" s="2" t="s">
        <v>435</v>
      </c>
      <c r="D40" s="3" t="s">
        <v>475</v>
      </c>
      <c r="E40" s="2">
        <v>0.4</v>
      </c>
      <c r="F40" s="2"/>
      <c r="G40" s="3" t="s">
        <v>9</v>
      </c>
      <c r="H40" s="3" t="s">
        <v>52</v>
      </c>
      <c r="J40" s="2"/>
    </row>
    <row r="41" spans="1:11" ht="409.6">
      <c r="A41" s="3" t="s">
        <v>119</v>
      </c>
      <c r="B41" s="40" t="s">
        <v>120</v>
      </c>
      <c r="C41" s="2" t="s">
        <v>439</v>
      </c>
      <c r="D41" s="3" t="s">
        <v>476</v>
      </c>
      <c r="E41">
        <v>0.4</v>
      </c>
      <c r="F41" s="2"/>
      <c r="G41" s="3" t="s">
        <v>9</v>
      </c>
      <c r="H41" s="3" t="s">
        <v>52</v>
      </c>
    </row>
    <row r="42" spans="1:11" ht="409.6">
      <c r="A42" s="3" t="s">
        <v>276</v>
      </c>
      <c r="B42" s="40" t="s">
        <v>277</v>
      </c>
      <c r="C42" s="2" t="s">
        <v>439</v>
      </c>
      <c r="D42" s="3" t="s">
        <v>521</v>
      </c>
      <c r="E42" s="2">
        <v>0.4</v>
      </c>
      <c r="G42" s="3" t="s">
        <v>9</v>
      </c>
      <c r="H42" s="3" t="s">
        <v>278</v>
      </c>
      <c r="J42" s="19"/>
      <c r="K42" s="3" t="s">
        <v>345</v>
      </c>
    </row>
    <row r="43" spans="1:11" ht="409.6">
      <c r="A43" s="3" t="s">
        <v>274</v>
      </c>
      <c r="B43" s="40" t="s">
        <v>275</v>
      </c>
      <c r="C43" s="2" t="s">
        <v>439</v>
      </c>
      <c r="D43" s="3" t="s">
        <v>477</v>
      </c>
      <c r="E43" s="2">
        <v>0.1</v>
      </c>
      <c r="F43" s="2"/>
      <c r="G43" s="3" t="s">
        <v>9</v>
      </c>
      <c r="H43" s="3" t="s">
        <v>279</v>
      </c>
      <c r="K43" s="34"/>
    </row>
    <row r="44" spans="1:11" ht="409.6">
      <c r="A44" s="3" t="s">
        <v>478</v>
      </c>
      <c r="C44" s="2" t="s">
        <v>439</v>
      </c>
      <c r="D44" s="5" t="s">
        <v>479</v>
      </c>
      <c r="E44" s="2">
        <v>0.1</v>
      </c>
      <c r="G44" t="s">
        <v>14</v>
      </c>
      <c r="H44" s="3" t="s">
        <v>480</v>
      </c>
    </row>
    <row r="46" spans="1:11">
      <c r="A46" s="36" t="s">
        <v>427</v>
      </c>
    </row>
    <row r="47" spans="1:11" ht="69">
      <c r="A47" s="3" t="s">
        <v>333</v>
      </c>
      <c r="B47" s="40" t="s">
        <v>334</v>
      </c>
      <c r="C47" s="2"/>
      <c r="D47" s="3" t="s">
        <v>336</v>
      </c>
      <c r="E47" s="2">
        <v>0.7</v>
      </c>
      <c r="F47" s="2">
        <v>8</v>
      </c>
      <c r="G47" s="3" t="s">
        <v>8</v>
      </c>
      <c r="H47" s="3" t="s">
        <v>335</v>
      </c>
      <c r="I47" s="3" t="s">
        <v>337</v>
      </c>
      <c r="J47" s="3" t="s">
        <v>338</v>
      </c>
      <c r="K47" s="3" t="s">
        <v>394</v>
      </c>
    </row>
    <row r="48" spans="1:11">
      <c r="A48" s="3" t="s">
        <v>21</v>
      </c>
      <c r="B48" s="40" t="s">
        <v>20</v>
      </c>
      <c r="C48" s="2"/>
      <c r="D48" s="3" t="s">
        <v>19</v>
      </c>
      <c r="E48" s="2">
        <v>0.5</v>
      </c>
      <c r="F48" s="2">
        <v>5</v>
      </c>
      <c r="G48" s="3" t="s">
        <v>8</v>
      </c>
      <c r="H48" s="3" t="s">
        <v>8</v>
      </c>
    </row>
    <row r="49" spans="1:10" ht="41.4">
      <c r="A49" s="3" t="s">
        <v>30</v>
      </c>
      <c r="B49" s="40" t="s">
        <v>29</v>
      </c>
      <c r="C49" s="2"/>
      <c r="D49" s="3" t="s">
        <v>430</v>
      </c>
      <c r="E49" s="2">
        <v>0.6</v>
      </c>
      <c r="F49" s="2">
        <v>5</v>
      </c>
      <c r="G49" s="3" t="s">
        <v>8</v>
      </c>
      <c r="H49" s="3" t="s">
        <v>8</v>
      </c>
      <c r="J49" s="2"/>
    </row>
    <row r="50" spans="1:10" ht="41.4">
      <c r="A50" s="3" t="s">
        <v>24</v>
      </c>
      <c r="B50" s="40" t="s">
        <v>23</v>
      </c>
      <c r="C50" s="2" t="s">
        <v>437</v>
      </c>
      <c r="D50" s="3" t="s">
        <v>442</v>
      </c>
      <c r="E50" s="2">
        <v>0.5</v>
      </c>
      <c r="F50" s="2">
        <v>4</v>
      </c>
      <c r="G50" s="3" t="s">
        <v>8</v>
      </c>
      <c r="H50" s="3" t="s">
        <v>8</v>
      </c>
      <c r="J50" s="2"/>
    </row>
    <row r="51" spans="1:10" ht="27.6">
      <c r="A51" s="3" t="s">
        <v>59</v>
      </c>
      <c r="B51" s="40" t="s">
        <v>58</v>
      </c>
      <c r="C51" s="2" t="s">
        <v>435</v>
      </c>
      <c r="D51" s="3" t="s">
        <v>443</v>
      </c>
      <c r="E51" s="2">
        <v>0.3</v>
      </c>
      <c r="F51" s="2">
        <v>4</v>
      </c>
      <c r="G51" s="3" t="s">
        <v>9</v>
      </c>
      <c r="H5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57"/>
  <sheetViews>
    <sheetView rightToLeft="1" zoomScale="75" zoomScaleNormal="75" workbookViewId="0">
      <pane ySplit="4" topLeftCell="A42" activePane="bottomLeft" state="frozen"/>
      <selection pane="bottomLeft" activeCell="E42" sqref="E42"/>
    </sheetView>
  </sheetViews>
  <sheetFormatPr defaultRowHeight="14.4"/>
  <cols>
    <col min="1" max="1" width="11.6640625" style="38" customWidth="1"/>
    <col min="2" max="2" width="11.44140625" customWidth="1"/>
    <col min="3" max="3" width="12.88671875" customWidth="1"/>
    <col min="4" max="4" width="52.5546875" style="5" customWidth="1"/>
    <col min="5" max="5" width="35.6640625" style="5" customWidth="1"/>
    <col min="6" max="6" width="29.5546875" style="5" customWidth="1"/>
    <col min="7" max="7" width="59" style="5" customWidth="1"/>
    <col min="10" max="10" width="12.109375" customWidth="1"/>
    <col min="11" max="11" width="17.77734375" customWidth="1"/>
    <col min="12" max="12" width="12" customWidth="1"/>
    <col min="13" max="13" width="15.33203125" customWidth="1"/>
    <col min="14" max="14" width="40.6640625" customWidth="1"/>
  </cols>
  <sheetData>
    <row r="1" spans="1:14">
      <c r="C1" s="4" t="s">
        <v>63</v>
      </c>
    </row>
    <row r="2" spans="1:14">
      <c r="C2" s="28" t="s">
        <v>210</v>
      </c>
    </row>
    <row r="4" spans="1:14" ht="27.6">
      <c r="A4" s="39" t="s">
        <v>6</v>
      </c>
      <c r="B4" s="9" t="s">
        <v>422</v>
      </c>
      <c r="C4" s="9" t="s">
        <v>7</v>
      </c>
      <c r="D4" s="9" t="s">
        <v>523</v>
      </c>
      <c r="E4" s="9" t="s">
        <v>524</v>
      </c>
      <c r="F4" s="9" t="s">
        <v>529</v>
      </c>
      <c r="G4" s="9" t="s">
        <v>522</v>
      </c>
      <c r="H4" s="9" t="s">
        <v>3</v>
      </c>
      <c r="I4" s="9" t="s">
        <v>4</v>
      </c>
      <c r="J4" s="9" t="s">
        <v>62</v>
      </c>
      <c r="K4" s="9" t="s">
        <v>0</v>
      </c>
      <c r="L4" s="9" t="s">
        <v>161</v>
      </c>
      <c r="M4" s="9" t="s">
        <v>162</v>
      </c>
      <c r="N4" s="9" t="s">
        <v>110</v>
      </c>
    </row>
    <row r="5" spans="1:14" ht="110.4">
      <c r="A5" s="47" t="s">
        <v>426</v>
      </c>
      <c r="B5" s="42" t="s">
        <v>424</v>
      </c>
      <c r="C5" s="46" t="s">
        <v>425</v>
      </c>
      <c r="D5" s="50" t="s">
        <v>566</v>
      </c>
      <c r="E5" s="43"/>
      <c r="F5" s="43"/>
      <c r="G5" s="43"/>
      <c r="H5" s="42">
        <v>0.7</v>
      </c>
      <c r="I5" s="42">
        <v>10</v>
      </c>
      <c r="J5" s="43" t="s">
        <v>9</v>
      </c>
      <c r="K5" s="43" t="s">
        <v>8</v>
      </c>
      <c r="L5" s="42">
        <v>20</v>
      </c>
      <c r="M5" s="42" t="s">
        <v>163</v>
      </c>
      <c r="N5" s="44" t="s">
        <v>224</v>
      </c>
    </row>
    <row r="6" spans="1:14" ht="55.2">
      <c r="A6" s="49" t="s">
        <v>441</v>
      </c>
      <c r="B6" s="2" t="s">
        <v>424</v>
      </c>
      <c r="C6" s="48" t="s">
        <v>423</v>
      </c>
      <c r="D6" s="3" t="s">
        <v>567</v>
      </c>
      <c r="E6" s="33"/>
      <c r="F6" s="3" t="s">
        <v>528</v>
      </c>
      <c r="G6" s="3"/>
      <c r="H6" s="2">
        <v>0.6</v>
      </c>
      <c r="I6" s="2">
        <v>7</v>
      </c>
      <c r="J6" s="3" t="s">
        <v>8</v>
      </c>
      <c r="K6" s="3"/>
      <c r="L6" s="2"/>
      <c r="M6" s="2"/>
      <c r="N6" s="21"/>
    </row>
    <row r="7" spans="1:14" ht="317.39999999999998">
      <c r="A7" s="40"/>
      <c r="B7" s="2" t="s">
        <v>434</v>
      </c>
      <c r="C7" s="3" t="s">
        <v>481</v>
      </c>
      <c r="D7" s="3" t="s">
        <v>568</v>
      </c>
      <c r="E7" s="3" t="s">
        <v>525</v>
      </c>
      <c r="F7" s="3"/>
      <c r="G7" s="3"/>
      <c r="H7" s="2">
        <v>0.7</v>
      </c>
      <c r="I7" s="2">
        <v>9</v>
      </c>
      <c r="J7" s="3" t="s">
        <v>9</v>
      </c>
      <c r="K7" s="3"/>
      <c r="L7" s="2"/>
      <c r="M7" s="2" t="s">
        <v>482</v>
      </c>
      <c r="N7" s="21"/>
    </row>
    <row r="8" spans="1:14" ht="220.8">
      <c r="A8" s="2" t="s">
        <v>440</v>
      </c>
      <c r="B8" s="2" t="s">
        <v>434</v>
      </c>
      <c r="C8" s="37" t="s">
        <v>604</v>
      </c>
      <c r="D8" s="3" t="s">
        <v>605</v>
      </c>
      <c r="E8" s="33" t="s">
        <v>607</v>
      </c>
      <c r="F8" s="3"/>
      <c r="G8" s="3"/>
      <c r="H8" s="2">
        <v>0.6</v>
      </c>
      <c r="I8" s="2">
        <v>7</v>
      </c>
      <c r="J8" s="3" t="s">
        <v>8</v>
      </c>
      <c r="K8" s="3" t="s">
        <v>8</v>
      </c>
      <c r="M8" s="2" t="s">
        <v>164</v>
      </c>
    </row>
    <row r="9" spans="1:14" ht="151.80000000000001">
      <c r="A9" s="2" t="s">
        <v>603</v>
      </c>
      <c r="B9" s="2" t="s">
        <v>434</v>
      </c>
      <c r="C9" s="40" t="s">
        <v>602</v>
      </c>
      <c r="D9" s="3" t="s">
        <v>606</v>
      </c>
      <c r="E9" s="33" t="s">
        <v>608</v>
      </c>
      <c r="F9" s="3"/>
      <c r="G9" s="3"/>
      <c r="H9" s="2">
        <v>0.5</v>
      </c>
      <c r="I9" s="2">
        <v>5</v>
      </c>
      <c r="J9" s="3"/>
      <c r="K9" s="3"/>
      <c r="M9" s="2"/>
    </row>
    <row r="10" spans="1:14" ht="96.6">
      <c r="A10" s="2" t="s">
        <v>34</v>
      </c>
      <c r="B10" s="2" t="s">
        <v>424</v>
      </c>
      <c r="C10" s="3" t="s">
        <v>33</v>
      </c>
      <c r="D10" s="3" t="s">
        <v>539</v>
      </c>
      <c r="E10" s="33"/>
      <c r="F10" s="33" t="s">
        <v>540</v>
      </c>
      <c r="G10" s="3"/>
      <c r="H10" s="2">
        <v>0.7</v>
      </c>
      <c r="I10" s="2">
        <v>9</v>
      </c>
      <c r="J10" s="3" t="s">
        <v>8</v>
      </c>
      <c r="K10" s="3" t="s">
        <v>8</v>
      </c>
      <c r="M10" s="2"/>
    </row>
    <row r="11" spans="1:14" ht="138">
      <c r="A11" s="52" t="s">
        <v>609</v>
      </c>
      <c r="B11" s="2" t="s">
        <v>434</v>
      </c>
      <c r="C11" s="17" t="s">
        <v>610</v>
      </c>
      <c r="D11" s="3" t="s">
        <v>611</v>
      </c>
      <c r="E11" s="33" t="s">
        <v>614</v>
      </c>
      <c r="F11" s="33" t="s">
        <v>615</v>
      </c>
      <c r="G11" s="3"/>
      <c r="H11" s="2">
        <v>0.5</v>
      </c>
      <c r="I11" s="2">
        <v>8</v>
      </c>
      <c r="J11" s="3"/>
      <c r="K11" s="3"/>
      <c r="M11" s="2"/>
    </row>
    <row r="12" spans="1:14" ht="220.8">
      <c r="A12" t="s">
        <v>616</v>
      </c>
      <c r="B12" s="2" t="s">
        <v>434</v>
      </c>
      <c r="C12" s="17" t="s">
        <v>393</v>
      </c>
      <c r="D12" s="3" t="s">
        <v>612</v>
      </c>
      <c r="E12" s="33" t="s">
        <v>613</v>
      </c>
      <c r="F12" s="33"/>
      <c r="G12" s="3"/>
      <c r="H12" s="2">
        <v>0.4</v>
      </c>
      <c r="I12" s="2">
        <v>6</v>
      </c>
      <c r="J12" s="3" t="s">
        <v>9</v>
      </c>
    </row>
    <row r="13" spans="1:14" ht="138">
      <c r="A13" s="2" t="s">
        <v>49</v>
      </c>
      <c r="B13" s="2" t="s">
        <v>438</v>
      </c>
      <c r="C13" s="3" t="s">
        <v>359</v>
      </c>
      <c r="D13" s="3" t="s">
        <v>593</v>
      </c>
      <c r="E13" s="33"/>
      <c r="F13" s="3" t="s">
        <v>563</v>
      </c>
      <c r="G13" s="3"/>
      <c r="H13" s="2">
        <v>0.6</v>
      </c>
      <c r="I13" s="2">
        <v>7</v>
      </c>
      <c r="J13" s="3" t="s">
        <v>9</v>
      </c>
      <c r="K13" s="2"/>
      <c r="M13" s="2" t="s">
        <v>348</v>
      </c>
      <c r="N13" t="s">
        <v>13</v>
      </c>
    </row>
    <row r="14" spans="1:14" ht="110.4">
      <c r="A14" s="40"/>
      <c r="B14" s="2" t="s">
        <v>424</v>
      </c>
      <c r="C14" s="3" t="s">
        <v>451</v>
      </c>
      <c r="D14" s="3" t="s">
        <v>594</v>
      </c>
      <c r="E14" s="33"/>
      <c r="F14" s="33"/>
      <c r="G14" s="3"/>
      <c r="H14" s="2"/>
      <c r="I14" s="2"/>
      <c r="J14" s="3"/>
      <c r="K14" s="3"/>
      <c r="M14" s="2"/>
    </row>
    <row r="15" spans="1:14" ht="138">
      <c r="A15" s="2" t="s">
        <v>11</v>
      </c>
      <c r="B15" s="2" t="s">
        <v>435</v>
      </c>
      <c r="C15" s="3" t="s">
        <v>12</v>
      </c>
      <c r="D15" s="3" t="s">
        <v>569</v>
      </c>
      <c r="E15" s="45"/>
      <c r="F15" s="33" t="s">
        <v>530</v>
      </c>
      <c r="G15" s="3"/>
      <c r="H15" s="2">
        <v>0.7</v>
      </c>
      <c r="I15" s="2">
        <v>8</v>
      </c>
      <c r="J15" s="3" t="s">
        <v>8</v>
      </c>
      <c r="K15" s="3" t="s">
        <v>8</v>
      </c>
      <c r="M15" s="2" t="s">
        <v>165</v>
      </c>
    </row>
    <row r="16" spans="1:14" ht="193.2">
      <c r="A16" s="2" t="s">
        <v>45</v>
      </c>
      <c r="B16" s="2" t="s">
        <v>435</v>
      </c>
      <c r="C16" s="3" t="s">
        <v>46</v>
      </c>
      <c r="D16" s="33" t="s">
        <v>547</v>
      </c>
      <c r="E16" s="33" t="s">
        <v>573</v>
      </c>
      <c r="F16" s="33" t="s">
        <v>548</v>
      </c>
      <c r="G16" s="3"/>
      <c r="H16" s="2">
        <v>0.6</v>
      </c>
      <c r="I16" s="2">
        <v>6</v>
      </c>
      <c r="J16" s="3" t="s">
        <v>14</v>
      </c>
      <c r="K16" s="2"/>
      <c r="M16" s="2"/>
    </row>
    <row r="17" spans="1:14" ht="110.4">
      <c r="A17" s="2" t="s">
        <v>429</v>
      </c>
      <c r="B17" s="2" t="s">
        <v>436</v>
      </c>
      <c r="C17" s="3" t="s">
        <v>18</v>
      </c>
      <c r="D17" s="3" t="s">
        <v>570</v>
      </c>
      <c r="E17" s="33" t="s">
        <v>571</v>
      </c>
      <c r="F17" s="33" t="s">
        <v>538</v>
      </c>
      <c r="G17" s="3"/>
      <c r="H17" s="2">
        <v>0.5</v>
      </c>
      <c r="I17" s="2">
        <v>5</v>
      </c>
      <c r="J17" s="3" t="s">
        <v>8</v>
      </c>
      <c r="K17" s="3" t="s">
        <v>8</v>
      </c>
      <c r="M17" s="2"/>
    </row>
    <row r="18" spans="1:14" ht="165.6">
      <c r="A18" s="2" t="s">
        <v>31</v>
      </c>
      <c r="B18" s="2" t="s">
        <v>434</v>
      </c>
      <c r="C18" s="3" t="s">
        <v>32</v>
      </c>
      <c r="D18" s="3" t="s">
        <v>624</v>
      </c>
      <c r="E18" s="33"/>
      <c r="F18" s="3"/>
      <c r="G18" s="3"/>
      <c r="H18" s="2">
        <v>0.7</v>
      </c>
      <c r="I18" s="2">
        <v>6</v>
      </c>
      <c r="J18" s="3" t="s">
        <v>8</v>
      </c>
      <c r="K18" s="3" t="s">
        <v>8</v>
      </c>
      <c r="M18" s="2" t="s">
        <v>164</v>
      </c>
      <c r="N18" s="5" t="s">
        <v>349</v>
      </c>
    </row>
    <row r="19" spans="1:14" ht="43.2">
      <c r="A19" s="2" t="s">
        <v>622</v>
      </c>
      <c r="B19" s="2" t="s">
        <v>435</v>
      </c>
      <c r="C19" s="3" t="s">
        <v>62</v>
      </c>
      <c r="D19" s="3" t="s">
        <v>623</v>
      </c>
      <c r="E19" s="33"/>
      <c r="F19" s="3"/>
      <c r="G19" s="3"/>
      <c r="H19" s="2">
        <v>0.5</v>
      </c>
      <c r="I19" s="2">
        <v>6</v>
      </c>
      <c r="J19" s="3"/>
      <c r="K19" s="3"/>
      <c r="M19" s="2"/>
      <c r="N19" s="5"/>
    </row>
    <row r="20" spans="1:14" ht="110.4">
      <c r="A20" s="2" t="s">
        <v>618</v>
      </c>
      <c r="B20" s="2" t="s">
        <v>436</v>
      </c>
      <c r="C20" s="3" t="s">
        <v>617</v>
      </c>
      <c r="D20" s="3" t="s">
        <v>572</v>
      </c>
      <c r="E20" s="33" t="s">
        <v>534</v>
      </c>
      <c r="F20" s="3" t="s">
        <v>531</v>
      </c>
      <c r="G20" s="3"/>
      <c r="H20" s="2">
        <v>0.6</v>
      </c>
      <c r="I20" s="2">
        <v>6</v>
      </c>
      <c r="J20" s="3" t="s">
        <v>14</v>
      </c>
      <c r="K20" s="3" t="s">
        <v>8</v>
      </c>
      <c r="M20" s="2" t="s">
        <v>164</v>
      </c>
    </row>
    <row r="21" spans="1:14" ht="43.2">
      <c r="A21" s="2" t="s">
        <v>619</v>
      </c>
      <c r="B21" s="2" t="s">
        <v>436</v>
      </c>
      <c r="C21" s="3" t="s">
        <v>620</v>
      </c>
      <c r="D21" s="33" t="s">
        <v>621</v>
      </c>
      <c r="E21" s="33"/>
      <c r="F21" s="33"/>
      <c r="G21" s="3"/>
      <c r="H21" s="2"/>
      <c r="I21" s="2"/>
      <c r="J21" s="3"/>
      <c r="K21" s="2"/>
      <c r="M21" s="2"/>
    </row>
    <row r="22" spans="1:14" ht="248.4">
      <c r="A22" s="49" t="s">
        <v>47</v>
      </c>
      <c r="B22" s="2" t="s">
        <v>435</v>
      </c>
      <c r="C22" s="48" t="s">
        <v>48</v>
      </c>
      <c r="D22" s="3" t="s">
        <v>595</v>
      </c>
      <c r="E22" s="33"/>
      <c r="F22" s="33" t="s">
        <v>549</v>
      </c>
      <c r="G22" s="3"/>
      <c r="H22" s="2">
        <v>0.6</v>
      </c>
      <c r="I22" s="2">
        <v>7</v>
      </c>
      <c r="J22" s="3" t="s">
        <v>8</v>
      </c>
      <c r="K22" s="2"/>
      <c r="M22" s="2"/>
    </row>
    <row r="23" spans="1:14" ht="207">
      <c r="A23" s="2" t="s">
        <v>347</v>
      </c>
      <c r="B23" s="2" t="s">
        <v>437</v>
      </c>
      <c r="C23" s="3" t="s">
        <v>22</v>
      </c>
      <c r="D23" s="3" t="s">
        <v>535</v>
      </c>
      <c r="E23" s="33" t="s">
        <v>536</v>
      </c>
      <c r="F23" s="33" t="s">
        <v>537</v>
      </c>
      <c r="G23" s="3"/>
      <c r="H23" s="2">
        <v>0.4</v>
      </c>
      <c r="I23" s="2">
        <v>2</v>
      </c>
      <c r="J23" s="3" t="s">
        <v>8</v>
      </c>
      <c r="K23" s="3" t="s">
        <v>8</v>
      </c>
      <c r="M23" s="2"/>
    </row>
    <row r="24" spans="1:14" ht="82.8">
      <c r="A24" s="2" t="s">
        <v>25</v>
      </c>
      <c r="B24" s="2" t="s">
        <v>437</v>
      </c>
      <c r="C24" s="3" t="s">
        <v>26</v>
      </c>
      <c r="D24" s="3" t="s">
        <v>574</v>
      </c>
      <c r="E24" s="33"/>
      <c r="F24" s="33"/>
      <c r="G24" s="3"/>
      <c r="H24" s="2">
        <v>0.5</v>
      </c>
      <c r="I24" s="2">
        <v>3</v>
      </c>
      <c r="J24" s="3" t="s">
        <v>8</v>
      </c>
      <c r="K24" s="3" t="s">
        <v>8</v>
      </c>
      <c r="M24" s="2"/>
    </row>
    <row r="25" spans="1:14" ht="124.2">
      <c r="A25" s="2" t="s">
        <v>27</v>
      </c>
      <c r="B25" s="2" t="s">
        <v>437</v>
      </c>
      <c r="C25" s="3" t="s">
        <v>28</v>
      </c>
      <c r="D25" s="3" t="s">
        <v>575</v>
      </c>
      <c r="E25" s="33"/>
      <c r="F25" s="33" t="s">
        <v>576</v>
      </c>
      <c r="G25" s="3"/>
      <c r="H25" s="2">
        <v>0.6</v>
      </c>
      <c r="I25" s="2">
        <v>5</v>
      </c>
      <c r="J25" s="3" t="s">
        <v>8</v>
      </c>
      <c r="K25" s="3" t="s">
        <v>8</v>
      </c>
      <c r="M25" s="2"/>
    </row>
    <row r="26" spans="1:14" ht="193.2">
      <c r="A26" s="2" t="s">
        <v>35</v>
      </c>
      <c r="B26" s="2" t="s">
        <v>437</v>
      </c>
      <c r="C26" s="3" t="s">
        <v>36</v>
      </c>
      <c r="D26" s="3" t="s">
        <v>541</v>
      </c>
      <c r="E26" s="33" t="s">
        <v>542</v>
      </c>
      <c r="F26" s="33"/>
      <c r="G26" s="3"/>
      <c r="H26" s="2">
        <v>0.5</v>
      </c>
      <c r="I26" s="2">
        <v>4</v>
      </c>
      <c r="J26" s="3" t="s">
        <v>8</v>
      </c>
      <c r="K26" s="3" t="s">
        <v>8</v>
      </c>
      <c r="M26" s="2"/>
      <c r="N26" t="s">
        <v>346</v>
      </c>
    </row>
    <row r="27" spans="1:14" ht="55.2">
      <c r="B27" s="2" t="s">
        <v>438</v>
      </c>
      <c r="C27" s="3" t="s">
        <v>626</v>
      </c>
      <c r="D27" s="3" t="s">
        <v>630</v>
      </c>
      <c r="E27" s="33" t="s">
        <v>628</v>
      </c>
      <c r="F27" s="33"/>
      <c r="G27" s="3"/>
      <c r="H27" s="2">
        <v>0.4</v>
      </c>
      <c r="I27" s="2">
        <v>3</v>
      </c>
      <c r="J27" s="3" t="s">
        <v>9</v>
      </c>
    </row>
    <row r="28" spans="1:14" ht="55.2">
      <c r="B28" s="2" t="s">
        <v>438</v>
      </c>
      <c r="C28" s="3" t="s">
        <v>627</v>
      </c>
      <c r="D28" s="3" t="s">
        <v>629</v>
      </c>
      <c r="E28" s="33" t="s">
        <v>631</v>
      </c>
      <c r="F28" s="33"/>
      <c r="G28" s="3"/>
      <c r="H28" s="2">
        <v>0.4</v>
      </c>
      <c r="I28" s="2">
        <v>3</v>
      </c>
      <c r="J28" s="3"/>
    </row>
    <row r="29" spans="1:14" ht="124.2">
      <c r="A29" s="49" t="s">
        <v>40</v>
      </c>
      <c r="B29" s="2" t="s">
        <v>438</v>
      </c>
      <c r="C29" s="48" t="s">
        <v>39</v>
      </c>
      <c r="D29" s="33" t="s">
        <v>580</v>
      </c>
      <c r="E29" s="33"/>
      <c r="F29" s="33"/>
      <c r="G29" s="3"/>
      <c r="H29" s="2">
        <v>0.6</v>
      </c>
      <c r="I29" s="2">
        <v>4</v>
      </c>
      <c r="J29" s="3" t="s">
        <v>14</v>
      </c>
      <c r="K29" s="2"/>
      <c r="M29" s="2"/>
    </row>
    <row r="30" spans="1:14" ht="82.8">
      <c r="A30" s="2" t="s">
        <v>41</v>
      </c>
      <c r="B30" s="2" t="s">
        <v>435</v>
      </c>
      <c r="C30" s="3" t="s">
        <v>42</v>
      </c>
      <c r="D30" s="3" t="s">
        <v>578</v>
      </c>
      <c r="E30" s="33"/>
      <c r="F30" s="33" t="s">
        <v>544</v>
      </c>
      <c r="G30" s="3"/>
      <c r="H30" s="2">
        <v>0.4</v>
      </c>
      <c r="I30" s="2">
        <v>3</v>
      </c>
      <c r="J30" s="3" t="s">
        <v>8</v>
      </c>
      <c r="K30" s="2"/>
      <c r="M30" s="2"/>
    </row>
    <row r="31" spans="1:14" ht="138">
      <c r="A31" s="2" t="s">
        <v>43</v>
      </c>
      <c r="B31" s="2" t="s">
        <v>435</v>
      </c>
      <c r="C31" s="3" t="s">
        <v>44</v>
      </c>
      <c r="D31" s="3" t="s">
        <v>581</v>
      </c>
      <c r="E31" s="33" t="s">
        <v>545</v>
      </c>
      <c r="F31" s="33" t="s">
        <v>546</v>
      </c>
      <c r="G31" s="3"/>
      <c r="H31" s="2">
        <v>0.4</v>
      </c>
      <c r="I31" s="2">
        <v>3</v>
      </c>
      <c r="J31" s="3" t="s">
        <v>14</v>
      </c>
      <c r="K31" s="2"/>
      <c r="M31" s="2"/>
    </row>
    <row r="32" spans="1:14" ht="151.80000000000001">
      <c r="A32" s="2" t="s">
        <v>17</v>
      </c>
      <c r="B32" s="2" t="s">
        <v>434</v>
      </c>
      <c r="C32" s="3" t="s">
        <v>428</v>
      </c>
      <c r="D32" s="3" t="s">
        <v>582</v>
      </c>
      <c r="E32" s="33" t="s">
        <v>533</v>
      </c>
      <c r="F32" s="45" t="s">
        <v>532</v>
      </c>
      <c r="G32" s="3"/>
      <c r="H32" s="2">
        <v>0.4</v>
      </c>
      <c r="I32" s="2">
        <v>4</v>
      </c>
      <c r="J32" s="3" t="s">
        <v>8</v>
      </c>
      <c r="K32" s="3" t="s">
        <v>8</v>
      </c>
      <c r="M32" s="2" t="s">
        <v>164</v>
      </c>
    </row>
    <row r="33" spans="1:14" ht="262.2">
      <c r="A33" s="2" t="s">
        <v>51</v>
      </c>
      <c r="B33" s="2" t="s">
        <v>436</v>
      </c>
      <c r="C33" s="3" t="s">
        <v>50</v>
      </c>
      <c r="D33" s="3" t="s">
        <v>583</v>
      </c>
      <c r="E33" s="3"/>
      <c r="F33" s="3"/>
      <c r="G33" s="3"/>
      <c r="H33" s="2">
        <v>0.6</v>
      </c>
      <c r="I33" s="2">
        <v>5</v>
      </c>
      <c r="J33" s="3" t="s">
        <v>14</v>
      </c>
      <c r="K33" s="2"/>
      <c r="M33" s="2"/>
    </row>
    <row r="34" spans="1:14" ht="193.2">
      <c r="B34" s="2" t="s">
        <v>436</v>
      </c>
      <c r="C34" s="3" t="s">
        <v>340</v>
      </c>
      <c r="D34" s="3" t="s">
        <v>584</v>
      </c>
      <c r="E34" s="3"/>
      <c r="F34" s="3"/>
      <c r="G34" s="3"/>
      <c r="H34" s="2">
        <v>0.2</v>
      </c>
      <c r="I34" s="2">
        <v>2</v>
      </c>
      <c r="J34" s="3" t="s">
        <v>14</v>
      </c>
    </row>
    <row r="35" spans="1:14" ht="207">
      <c r="B35" s="2" t="s">
        <v>438</v>
      </c>
      <c r="C35" s="33" t="s">
        <v>343</v>
      </c>
      <c r="D35" s="3" t="s">
        <v>596</v>
      </c>
      <c r="E35" s="33"/>
      <c r="F35" s="33" t="s">
        <v>553</v>
      </c>
      <c r="G35" s="3"/>
      <c r="H35" s="2">
        <v>0.5</v>
      </c>
      <c r="I35" s="2">
        <v>4</v>
      </c>
      <c r="J35" s="3" t="s">
        <v>8</v>
      </c>
    </row>
    <row r="36" spans="1:14" ht="207">
      <c r="A36" s="2" t="s">
        <v>53</v>
      </c>
      <c r="B36" s="2" t="s">
        <v>435</v>
      </c>
      <c r="C36" s="3" t="s">
        <v>54</v>
      </c>
      <c r="D36" s="3" t="s">
        <v>586</v>
      </c>
      <c r="E36" s="33"/>
      <c r="F36" s="33"/>
      <c r="G36" s="3"/>
      <c r="H36" s="2">
        <v>0.2</v>
      </c>
      <c r="I36" s="2"/>
      <c r="J36" s="3" t="s">
        <v>9</v>
      </c>
      <c r="K36" s="3" t="s">
        <v>52</v>
      </c>
      <c r="M36" s="2"/>
    </row>
    <row r="37" spans="1:14" ht="124.2">
      <c r="B37" s="2" t="s">
        <v>434</v>
      </c>
      <c r="C37" s="3" t="s">
        <v>392</v>
      </c>
      <c r="D37" s="3" t="s">
        <v>587</v>
      </c>
      <c r="E37" s="33" t="s">
        <v>554</v>
      </c>
      <c r="F37" s="33"/>
      <c r="G37" s="3"/>
      <c r="H37" s="2">
        <v>0.2</v>
      </c>
      <c r="I37" s="2">
        <v>4</v>
      </c>
      <c r="J37" s="3" t="s">
        <v>9</v>
      </c>
    </row>
    <row r="38" spans="1:14" ht="151.80000000000001">
      <c r="B38" s="2" t="s">
        <v>434</v>
      </c>
      <c r="C38" s="3" t="s">
        <v>431</v>
      </c>
      <c r="D38" s="3" t="s">
        <v>588</v>
      </c>
      <c r="E38" s="33" t="s">
        <v>558</v>
      </c>
      <c r="F38" s="33"/>
      <c r="G38" s="3"/>
      <c r="H38" s="2">
        <v>0.2</v>
      </c>
      <c r="I38" s="2">
        <v>4</v>
      </c>
      <c r="J38" s="3" t="s">
        <v>9</v>
      </c>
    </row>
    <row r="39" spans="1:14" ht="165.6">
      <c r="B39" s="2" t="s">
        <v>434</v>
      </c>
      <c r="C39" s="3" t="s">
        <v>341</v>
      </c>
      <c r="D39" s="3" t="s">
        <v>589</v>
      </c>
      <c r="E39" s="33" t="s">
        <v>559</v>
      </c>
      <c r="F39" s="3"/>
      <c r="G39" s="3"/>
      <c r="H39" s="2">
        <v>0.2</v>
      </c>
      <c r="I39" s="2">
        <v>3</v>
      </c>
      <c r="J39" s="3" t="s">
        <v>8</v>
      </c>
    </row>
    <row r="40" spans="1:14" ht="179.4">
      <c r="A40" s="51"/>
      <c r="B40" s="41" t="s">
        <v>434</v>
      </c>
      <c r="C40" s="33" t="s">
        <v>396</v>
      </c>
      <c r="D40" s="33" t="s">
        <v>590</v>
      </c>
      <c r="E40" s="33" t="s">
        <v>560</v>
      </c>
      <c r="F40" s="3"/>
      <c r="G40" s="3"/>
      <c r="H40" s="2">
        <v>0.2</v>
      </c>
      <c r="I40" s="2">
        <v>3</v>
      </c>
      <c r="J40" s="3" t="s">
        <v>9</v>
      </c>
    </row>
    <row r="41" spans="1:14" ht="248.4">
      <c r="A41" s="2" t="s">
        <v>60</v>
      </c>
      <c r="B41" s="2" t="s">
        <v>435</v>
      </c>
      <c r="C41" s="3" t="s">
        <v>61</v>
      </c>
      <c r="D41" s="3" t="s">
        <v>591</v>
      </c>
      <c r="E41" s="33" t="s">
        <v>562</v>
      </c>
      <c r="F41" s="3" t="s">
        <v>561</v>
      </c>
      <c r="G41" s="3"/>
      <c r="H41" s="2">
        <v>0.4</v>
      </c>
      <c r="I41" s="2"/>
      <c r="J41" s="3" t="s">
        <v>9</v>
      </c>
      <c r="K41" s="3" t="s">
        <v>52</v>
      </c>
      <c r="M41" s="2"/>
    </row>
    <row r="42" spans="1:14" ht="110.4">
      <c r="A42" s="2" t="s">
        <v>120</v>
      </c>
      <c r="B42" s="2" t="s">
        <v>439</v>
      </c>
      <c r="C42" s="3" t="s">
        <v>119</v>
      </c>
      <c r="D42" s="3" t="s">
        <v>592</v>
      </c>
      <c r="E42" s="33" t="s">
        <v>632</v>
      </c>
      <c r="F42" s="33" t="s">
        <v>564</v>
      </c>
      <c r="G42" s="3"/>
      <c r="H42">
        <v>0.4</v>
      </c>
      <c r="I42" s="2"/>
      <c r="J42" s="3" t="s">
        <v>9</v>
      </c>
      <c r="K42" s="3" t="s">
        <v>52</v>
      </c>
    </row>
    <row r="43" spans="1:14" ht="138">
      <c r="A43" s="2" t="s">
        <v>277</v>
      </c>
      <c r="B43" s="2" t="s">
        <v>439</v>
      </c>
      <c r="C43" s="3" t="s">
        <v>598</v>
      </c>
      <c r="D43" s="3" t="s">
        <v>597</v>
      </c>
      <c r="E43" s="3"/>
      <c r="F43" s="33" t="s">
        <v>599</v>
      </c>
      <c r="G43" s="3"/>
      <c r="H43" s="2">
        <v>0.4</v>
      </c>
      <c r="J43" s="3" t="s">
        <v>9</v>
      </c>
      <c r="K43" s="3" t="s">
        <v>278</v>
      </c>
      <c r="M43" s="19"/>
      <c r="N43" s="3" t="s">
        <v>345</v>
      </c>
    </row>
    <row r="44" spans="1:14" ht="400.2">
      <c r="A44" s="40" t="s">
        <v>275</v>
      </c>
      <c r="B44" s="2" t="s">
        <v>439</v>
      </c>
      <c r="C44" s="3" t="s">
        <v>274</v>
      </c>
      <c r="D44" s="3" t="s">
        <v>600</v>
      </c>
      <c r="E44" s="3"/>
      <c r="F44" s="33" t="s">
        <v>565</v>
      </c>
      <c r="G44" s="3"/>
      <c r="H44" s="2">
        <v>0.1</v>
      </c>
      <c r="I44" s="2"/>
      <c r="J44" s="3" t="s">
        <v>9</v>
      </c>
      <c r="K44" s="3" t="s">
        <v>279</v>
      </c>
      <c r="N44" s="34"/>
    </row>
    <row r="45" spans="1:14" ht="388.8">
      <c r="B45" s="2" t="s">
        <v>439</v>
      </c>
      <c r="C45" s="3" t="s">
        <v>478</v>
      </c>
      <c r="D45" s="5" t="s">
        <v>601</v>
      </c>
      <c r="E45" s="5" t="s">
        <v>527</v>
      </c>
      <c r="F45" s="5" t="s">
        <v>526</v>
      </c>
      <c r="H45" s="2">
        <v>0.1</v>
      </c>
      <c r="J45" t="s">
        <v>14</v>
      </c>
      <c r="K45" s="3" t="s">
        <v>480</v>
      </c>
    </row>
    <row r="47" spans="1:14">
      <c r="C47" s="36" t="s">
        <v>427</v>
      </c>
    </row>
    <row r="48" spans="1:14" ht="69">
      <c r="A48" s="40" t="s">
        <v>334</v>
      </c>
      <c r="B48" s="2"/>
      <c r="C48" s="3" t="s">
        <v>333</v>
      </c>
      <c r="D48" s="3" t="s">
        <v>336</v>
      </c>
      <c r="E48" s="3"/>
      <c r="F48" s="3"/>
      <c r="G48" s="3"/>
      <c r="H48" s="2">
        <v>0.7</v>
      </c>
      <c r="I48" s="2">
        <v>8</v>
      </c>
      <c r="J48" s="3" t="s">
        <v>8</v>
      </c>
      <c r="K48" s="3" t="s">
        <v>335</v>
      </c>
      <c r="L48" s="3" t="s">
        <v>337</v>
      </c>
      <c r="M48" s="3" t="s">
        <v>338</v>
      </c>
      <c r="N48" s="3" t="s">
        <v>394</v>
      </c>
    </row>
    <row r="49" spans="1:13" ht="27.6">
      <c r="A49" s="40" t="s">
        <v>20</v>
      </c>
      <c r="B49" s="2"/>
      <c r="C49" s="3" t="s">
        <v>21</v>
      </c>
      <c r="D49" s="3" t="s">
        <v>19</v>
      </c>
      <c r="E49" s="3"/>
      <c r="F49" s="3"/>
      <c r="G49" s="3"/>
      <c r="H49" s="2">
        <v>0.5</v>
      </c>
      <c r="I49" s="2">
        <v>5</v>
      </c>
      <c r="J49" s="3" t="s">
        <v>8</v>
      </c>
      <c r="K49" s="3" t="s">
        <v>8</v>
      </c>
    </row>
    <row r="50" spans="1:13" ht="55.2">
      <c r="A50" s="40" t="s">
        <v>29</v>
      </c>
      <c r="B50" s="2"/>
      <c r="C50" s="3" t="s">
        <v>30</v>
      </c>
      <c r="D50" s="3" t="s">
        <v>430</v>
      </c>
      <c r="E50" s="3"/>
      <c r="F50" s="3"/>
      <c r="G50" s="3"/>
      <c r="H50" s="2">
        <v>0.6</v>
      </c>
      <c r="I50" s="2">
        <v>5</v>
      </c>
      <c r="J50" s="3" t="s">
        <v>8</v>
      </c>
      <c r="K50" s="3" t="s">
        <v>8</v>
      </c>
      <c r="M50" s="2"/>
    </row>
    <row r="51" spans="1:13" ht="41.4">
      <c r="A51" s="40" t="s">
        <v>23</v>
      </c>
      <c r="B51" s="2" t="s">
        <v>437</v>
      </c>
      <c r="C51" s="3" t="s">
        <v>24</v>
      </c>
      <c r="D51" s="3" t="s">
        <v>442</v>
      </c>
      <c r="E51" s="3"/>
      <c r="F51" s="3"/>
      <c r="G51" s="3"/>
      <c r="H51" s="2">
        <v>0.5</v>
      </c>
      <c r="I51" s="2">
        <v>4</v>
      </c>
      <c r="J51" s="3" t="s">
        <v>8</v>
      </c>
      <c r="K51" s="3" t="s">
        <v>8</v>
      </c>
      <c r="M51" s="2"/>
    </row>
    <row r="52" spans="1:13" ht="27.6">
      <c r="A52" s="40" t="s">
        <v>58</v>
      </c>
      <c r="B52" s="2" t="s">
        <v>435</v>
      </c>
      <c r="C52" s="3" t="s">
        <v>59</v>
      </c>
      <c r="D52" s="3" t="s">
        <v>443</v>
      </c>
      <c r="E52" s="3"/>
      <c r="F52" s="3"/>
      <c r="G52" s="3"/>
      <c r="H52" s="2">
        <v>0.3</v>
      </c>
      <c r="I52" s="2">
        <v>4</v>
      </c>
      <c r="J52" s="3" t="s">
        <v>9</v>
      </c>
      <c r="K52" s="2"/>
    </row>
    <row r="53" spans="1:13" ht="151.80000000000001">
      <c r="B53" s="2" t="s">
        <v>438</v>
      </c>
      <c r="C53" s="3" t="s">
        <v>342</v>
      </c>
      <c r="D53" s="3" t="s">
        <v>551</v>
      </c>
      <c r="E53" s="33" t="s">
        <v>552</v>
      </c>
      <c r="F53" s="3"/>
      <c r="G53" s="3"/>
      <c r="H53" s="2">
        <v>0.2</v>
      </c>
      <c r="I53" s="2">
        <v>2</v>
      </c>
      <c r="J53" s="3" t="s">
        <v>14</v>
      </c>
    </row>
    <row r="54" spans="1:13" ht="165.6">
      <c r="B54" s="2" t="s">
        <v>434</v>
      </c>
      <c r="C54" s="3" t="s">
        <v>395</v>
      </c>
      <c r="D54" s="3" t="s">
        <v>555</v>
      </c>
      <c r="E54" s="33" t="s">
        <v>556</v>
      </c>
      <c r="F54" s="33" t="s">
        <v>557</v>
      </c>
      <c r="G54" s="3"/>
      <c r="H54" s="2">
        <v>0.2</v>
      </c>
      <c r="I54" s="2">
        <v>3</v>
      </c>
      <c r="J54" s="3" t="s">
        <v>8</v>
      </c>
    </row>
    <row r="55" spans="1:13" ht="82.8">
      <c r="B55" s="2" t="s">
        <v>438</v>
      </c>
      <c r="C55" s="3" t="s">
        <v>339</v>
      </c>
      <c r="D55" s="3" t="s">
        <v>585</v>
      </c>
      <c r="E55" s="3"/>
      <c r="F55" s="3" t="s">
        <v>550</v>
      </c>
      <c r="G55" s="3"/>
      <c r="H55" s="2">
        <v>0.2</v>
      </c>
      <c r="I55" s="2">
        <v>3</v>
      </c>
      <c r="J55" s="3" t="s">
        <v>14</v>
      </c>
      <c r="M55" s="2"/>
    </row>
    <row r="56" spans="1:13" ht="27.6">
      <c r="B56" s="2" t="s">
        <v>434</v>
      </c>
      <c r="C56" s="3" t="s">
        <v>625</v>
      </c>
    </row>
    <row r="57" spans="1:13" ht="110.4">
      <c r="A57" s="2" t="s">
        <v>37</v>
      </c>
      <c r="B57" s="2" t="s">
        <v>438</v>
      </c>
      <c r="C57" s="3" t="s">
        <v>38</v>
      </c>
      <c r="D57" s="3" t="s">
        <v>579</v>
      </c>
      <c r="E57" s="33" t="s">
        <v>543</v>
      </c>
      <c r="F57" s="33" t="s">
        <v>577</v>
      </c>
      <c r="G57" s="3"/>
      <c r="H57" s="2">
        <v>0.6</v>
      </c>
      <c r="I57" s="2">
        <v>4</v>
      </c>
      <c r="J57" s="3" t="s">
        <v>8</v>
      </c>
      <c r="K57" s="2"/>
      <c r="M5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155</v>
      </c>
    </row>
    <row r="2" spans="1:12" ht="41.4">
      <c r="A2" s="9" t="s">
        <v>7</v>
      </c>
      <c r="B2" s="9" t="s">
        <v>6</v>
      </c>
      <c r="C2" s="9" t="s">
        <v>157</v>
      </c>
      <c r="D2" s="9" t="s">
        <v>5</v>
      </c>
      <c r="E2" s="9" t="s">
        <v>3</v>
      </c>
      <c r="F2" s="9" t="s">
        <v>4</v>
      </c>
      <c r="G2" s="9" t="s">
        <v>62</v>
      </c>
      <c r="H2" s="9" t="s">
        <v>1</v>
      </c>
      <c r="I2" s="9" t="s">
        <v>207</v>
      </c>
      <c r="J2" s="9" t="s">
        <v>0</v>
      </c>
      <c r="K2" s="9" t="s">
        <v>156</v>
      </c>
      <c r="L2" s="9" t="s">
        <v>110</v>
      </c>
    </row>
    <row r="3" spans="1:12">
      <c r="A3" t="s">
        <v>57</v>
      </c>
      <c r="B3" t="s">
        <v>310</v>
      </c>
      <c r="C3" t="s">
        <v>130</v>
      </c>
      <c r="D3" t="s">
        <v>432</v>
      </c>
      <c r="F3">
        <v>90</v>
      </c>
      <c r="G3" t="s">
        <v>9</v>
      </c>
      <c r="H3" t="s">
        <v>361</v>
      </c>
      <c r="I3" s="19"/>
    </row>
    <row r="4" spans="1:12">
      <c r="A4" t="s">
        <v>68</v>
      </c>
      <c r="B4" t="s">
        <v>87</v>
      </c>
      <c r="C4" t="s">
        <v>158</v>
      </c>
      <c r="D4" t="s">
        <v>432</v>
      </c>
      <c r="F4">
        <v>80</v>
      </c>
      <c r="G4" t="s">
        <v>8</v>
      </c>
      <c r="H4" t="s">
        <v>360</v>
      </c>
      <c r="L4" s="5"/>
    </row>
    <row r="5" spans="1:12" ht="28.8">
      <c r="A5" t="s">
        <v>141</v>
      </c>
      <c r="B5" t="s">
        <v>302</v>
      </c>
      <c r="C5" t="s">
        <v>159</v>
      </c>
      <c r="E5">
        <v>0.5</v>
      </c>
      <c r="F5">
        <v>90</v>
      </c>
      <c r="G5" t="s">
        <v>9</v>
      </c>
      <c r="K5" t="s">
        <v>297</v>
      </c>
      <c r="L5" s="5" t="s">
        <v>309</v>
      </c>
    </row>
    <row r="6" spans="1:12">
      <c r="A6" t="s">
        <v>138</v>
      </c>
      <c r="B6" t="s">
        <v>303</v>
      </c>
      <c r="C6" t="s">
        <v>159</v>
      </c>
      <c r="E6">
        <v>0</v>
      </c>
      <c r="F6">
        <v>10</v>
      </c>
      <c r="G6" t="s">
        <v>8</v>
      </c>
      <c r="K6" t="s">
        <v>298</v>
      </c>
    </row>
    <row r="7" spans="1:12">
      <c r="A7" t="s">
        <v>139</v>
      </c>
      <c r="B7" t="s">
        <v>304</v>
      </c>
      <c r="C7" t="s">
        <v>159</v>
      </c>
      <c r="E7">
        <v>0</v>
      </c>
      <c r="F7">
        <v>0</v>
      </c>
      <c r="G7" t="s">
        <v>8</v>
      </c>
      <c r="K7" t="s">
        <v>300</v>
      </c>
    </row>
    <row r="8" spans="1:12">
      <c r="A8" t="s">
        <v>140</v>
      </c>
      <c r="B8" t="s">
        <v>305</v>
      </c>
      <c r="C8" t="s">
        <v>159</v>
      </c>
      <c r="E8">
        <v>0</v>
      </c>
      <c r="F8">
        <v>0</v>
      </c>
      <c r="G8" t="s">
        <v>8</v>
      </c>
      <c r="K8" t="s">
        <v>299</v>
      </c>
    </row>
    <row r="9" spans="1:12">
      <c r="A9" t="s">
        <v>296</v>
      </c>
      <c r="C9" t="s">
        <v>159</v>
      </c>
      <c r="E9">
        <v>0.3</v>
      </c>
      <c r="F9">
        <v>50</v>
      </c>
      <c r="G9" t="s">
        <v>9</v>
      </c>
      <c r="K9" t="s">
        <v>301</v>
      </c>
    </row>
    <row r="10" spans="1:12">
      <c r="A10" t="s">
        <v>306</v>
      </c>
      <c r="B10" t="s">
        <v>308</v>
      </c>
      <c r="C10" t="s">
        <v>159</v>
      </c>
      <c r="E10">
        <v>0.4</v>
      </c>
      <c r="F10">
        <v>60</v>
      </c>
      <c r="G10" t="s">
        <v>8</v>
      </c>
      <c r="K10" s="5" t="s">
        <v>307</v>
      </c>
    </row>
    <row r="11" spans="1:12" ht="28.8">
      <c r="A11" t="s">
        <v>350</v>
      </c>
      <c r="B11" t="s">
        <v>351</v>
      </c>
      <c r="C11" t="s">
        <v>159</v>
      </c>
      <c r="D11" t="s">
        <v>433</v>
      </c>
      <c r="E11">
        <v>0.5</v>
      </c>
      <c r="F11">
        <v>80</v>
      </c>
      <c r="G11" t="s">
        <v>9</v>
      </c>
      <c r="K11" s="5" t="s">
        <v>362</v>
      </c>
      <c r="L11" t="s">
        <v>363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144</v>
      </c>
    </row>
    <row r="3" spans="1:10">
      <c r="A3" s="14" t="s">
        <v>176</v>
      </c>
      <c r="E3" t="s">
        <v>419</v>
      </c>
    </row>
    <row r="4" spans="1:10" ht="27.6">
      <c r="A4" s="7" t="s">
        <v>6</v>
      </c>
      <c r="B4" s="7" t="s">
        <v>66</v>
      </c>
      <c r="C4" s="7" t="s">
        <v>132</v>
      </c>
      <c r="D4" s="7" t="s">
        <v>172</v>
      </c>
      <c r="E4" s="7" t="s">
        <v>145</v>
      </c>
      <c r="F4" s="7" t="s">
        <v>146</v>
      </c>
      <c r="G4" s="7" t="s">
        <v>154</v>
      </c>
    </row>
    <row r="5" spans="1:10" ht="28.8">
      <c r="C5" s="5" t="s">
        <v>178</v>
      </c>
      <c r="D5" s="5" t="s">
        <v>188</v>
      </c>
      <c r="E5" s="5" t="s">
        <v>179</v>
      </c>
      <c r="F5" s="5" t="s">
        <v>180</v>
      </c>
      <c r="G5" s="5" t="s">
        <v>170</v>
      </c>
    </row>
    <row r="8" spans="1:10">
      <c r="A8" s="14" t="s">
        <v>177</v>
      </c>
      <c r="E8" t="s">
        <v>420</v>
      </c>
    </row>
    <row r="9" spans="1:10" ht="41.4">
      <c r="A9" s="7" t="s">
        <v>6</v>
      </c>
      <c r="B9" s="7" t="s">
        <v>66</v>
      </c>
      <c r="C9" s="7" t="s">
        <v>171</v>
      </c>
      <c r="D9" s="7" t="s">
        <v>173</v>
      </c>
      <c r="E9" s="7" t="s">
        <v>65</v>
      </c>
      <c r="F9" s="7" t="s">
        <v>145</v>
      </c>
      <c r="G9" s="7" t="s">
        <v>175</v>
      </c>
      <c r="H9" s="7" t="s">
        <v>174</v>
      </c>
      <c r="I9" s="7" t="s">
        <v>154</v>
      </c>
      <c r="J9"/>
    </row>
    <row r="10" spans="1:10" ht="43.2">
      <c r="C10" s="5" t="s">
        <v>181</v>
      </c>
      <c r="D10" s="5" t="s">
        <v>182</v>
      </c>
      <c r="E10" s="5" t="s">
        <v>183</v>
      </c>
      <c r="F10" s="5" t="s">
        <v>184</v>
      </c>
      <c r="G10" s="5" t="s">
        <v>185</v>
      </c>
      <c r="H10" s="5" t="s">
        <v>186</v>
      </c>
      <c r="I10" s="5" t="s">
        <v>187</v>
      </c>
      <c r="J10" s="17"/>
    </row>
    <row r="11" spans="1:10">
      <c r="F11" s="18"/>
      <c r="G11" s="18"/>
      <c r="H11" s="17"/>
      <c r="I11" s="17"/>
      <c r="J11"/>
    </row>
    <row r="12" spans="1:10">
      <c r="A12"/>
      <c r="B12"/>
      <c r="C12"/>
      <c r="D12"/>
      <c r="E12"/>
      <c r="F12"/>
      <c r="G12"/>
      <c r="H12"/>
      <c r="I12"/>
      <c r="J12"/>
    </row>
    <row r="13" spans="1:10" ht="15.6">
      <c r="A13" s="23" t="s">
        <v>189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229</v>
      </c>
      <c r="K1" s="14" t="s">
        <v>311</v>
      </c>
    </row>
    <row r="2" spans="1:13">
      <c r="K2" t="s">
        <v>312</v>
      </c>
      <c r="L2" t="s">
        <v>313</v>
      </c>
    </row>
    <row r="3" spans="1:13" ht="57.6">
      <c r="A3" s="14" t="s">
        <v>230</v>
      </c>
      <c r="B3" s="13" t="s">
        <v>231</v>
      </c>
      <c r="C3" s="13" t="s">
        <v>232</v>
      </c>
      <c r="D3" s="14" t="s">
        <v>233</v>
      </c>
      <c r="E3" s="13" t="s">
        <v>236</v>
      </c>
      <c r="F3" s="13" t="s">
        <v>235</v>
      </c>
      <c r="G3" s="14" t="s">
        <v>234</v>
      </c>
      <c r="K3" t="s">
        <v>317</v>
      </c>
      <c r="L3" s="5" t="s">
        <v>318</v>
      </c>
      <c r="M3" s="5" t="s">
        <v>328</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314</v>
      </c>
      <c r="L4" s="5" t="s">
        <v>315</v>
      </c>
      <c r="M4" s="5" t="s">
        <v>329</v>
      </c>
    </row>
    <row r="5" spans="1:13" ht="43.2">
      <c r="A5">
        <v>3</v>
      </c>
      <c r="B5">
        <v>4</v>
      </c>
      <c r="C5">
        <v>2</v>
      </c>
      <c r="D5">
        <f t="shared" si="0"/>
        <v>15</v>
      </c>
      <c r="E5">
        <f t="shared" si="1"/>
        <v>60</v>
      </c>
      <c r="F5">
        <f t="shared" si="2"/>
        <v>80</v>
      </c>
      <c r="G5">
        <f t="shared" si="3"/>
        <v>50</v>
      </c>
      <c r="L5" s="5" t="s">
        <v>316</v>
      </c>
    </row>
    <row r="6" spans="1:13" ht="28.8">
      <c r="A6">
        <v>1</v>
      </c>
      <c r="B6">
        <v>1</v>
      </c>
      <c r="C6">
        <v>1</v>
      </c>
      <c r="D6">
        <f t="shared" si="0"/>
        <v>5</v>
      </c>
      <c r="E6">
        <f t="shared" si="1"/>
        <v>90</v>
      </c>
      <c r="F6">
        <f t="shared" si="2"/>
        <v>90</v>
      </c>
      <c r="G6">
        <f t="shared" si="3"/>
        <v>56</v>
      </c>
      <c r="K6" t="s">
        <v>319</v>
      </c>
      <c r="L6" s="5" t="s">
        <v>320</v>
      </c>
    </row>
    <row r="7" spans="1:13">
      <c r="A7">
        <v>3</v>
      </c>
      <c r="B7">
        <v>10</v>
      </c>
      <c r="C7">
        <v>6</v>
      </c>
      <c r="D7">
        <f t="shared" si="0"/>
        <v>15</v>
      </c>
      <c r="E7">
        <f t="shared" si="1"/>
        <v>0</v>
      </c>
      <c r="F7">
        <f t="shared" si="2"/>
        <v>40</v>
      </c>
      <c r="G7">
        <f t="shared" si="3"/>
        <v>22</v>
      </c>
      <c r="L7" s="5" t="s">
        <v>321</v>
      </c>
    </row>
    <row r="8" spans="1:13" ht="28.8">
      <c r="A8">
        <v>14</v>
      </c>
      <c r="B8">
        <v>4</v>
      </c>
      <c r="C8">
        <v>4</v>
      </c>
      <c r="D8">
        <f t="shared" si="0"/>
        <v>70</v>
      </c>
      <c r="E8">
        <f t="shared" si="1"/>
        <v>60</v>
      </c>
      <c r="F8">
        <f t="shared" si="2"/>
        <v>60</v>
      </c>
      <c r="G8">
        <f t="shared" si="3"/>
        <v>64</v>
      </c>
      <c r="K8" t="s">
        <v>323</v>
      </c>
      <c r="L8" s="5" t="s">
        <v>322</v>
      </c>
    </row>
    <row r="9" spans="1:13" ht="27">
      <c r="A9">
        <v>1</v>
      </c>
      <c r="B9">
        <v>10</v>
      </c>
      <c r="C9">
        <v>5</v>
      </c>
      <c r="D9">
        <f t="shared" si="0"/>
        <v>5</v>
      </c>
      <c r="E9">
        <f t="shared" si="1"/>
        <v>0</v>
      </c>
      <c r="F9">
        <f t="shared" si="2"/>
        <v>50</v>
      </c>
      <c r="G9">
        <f t="shared" si="3"/>
        <v>22</v>
      </c>
      <c r="K9" s="14" t="s">
        <v>325</v>
      </c>
      <c r="L9" s="32" t="s">
        <v>324</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327</v>
      </c>
      <c r="L11" s="5" t="s">
        <v>326</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160</v>
      </c>
      <c r="G1" s="24" t="s">
        <v>167</v>
      </c>
      <c r="J1" s="19" t="s">
        <v>169</v>
      </c>
    </row>
    <row r="3" spans="2:13">
      <c r="B3" s="5"/>
      <c r="C3" s="5" t="s">
        <v>131</v>
      </c>
      <c r="E3" s="5"/>
      <c r="F3" s="5" t="s">
        <v>133</v>
      </c>
      <c r="H3" s="5"/>
      <c r="I3" s="5"/>
      <c r="J3" s="5"/>
      <c r="K3" s="5"/>
      <c r="L3" s="5"/>
    </row>
    <row r="4" spans="2:13" ht="28.8">
      <c r="B4" s="5" t="s">
        <v>7</v>
      </c>
      <c r="C4" s="13" t="s">
        <v>147</v>
      </c>
      <c r="D4" s="13" t="s">
        <v>148</v>
      </c>
      <c r="E4" s="13" t="s">
        <v>149</v>
      </c>
      <c r="F4" s="13" t="s">
        <v>150</v>
      </c>
      <c r="G4" s="13" t="s">
        <v>151</v>
      </c>
      <c r="H4" s="13" t="s">
        <v>152</v>
      </c>
      <c r="I4" s="5" t="s">
        <v>135</v>
      </c>
      <c r="J4" s="5" t="s">
        <v>153</v>
      </c>
      <c r="K4" s="5" t="s">
        <v>143</v>
      </c>
      <c r="L4" s="5" t="s">
        <v>136</v>
      </c>
      <c r="M4" s="13" t="s">
        <v>142</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36</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147</v>
      </c>
      <c r="D12" s="13" t="s">
        <v>148</v>
      </c>
      <c r="E12" s="13" t="s">
        <v>149</v>
      </c>
      <c r="F12" s="13" t="s">
        <v>150</v>
      </c>
      <c r="G12" s="13" t="s">
        <v>151</v>
      </c>
      <c r="H12" s="13" t="s">
        <v>152</v>
      </c>
      <c r="I12" s="5" t="s">
        <v>135</v>
      </c>
      <c r="J12" s="5" t="s">
        <v>153</v>
      </c>
      <c r="K12" s="5" t="s">
        <v>143</v>
      </c>
      <c r="L12" s="5" t="s">
        <v>136</v>
      </c>
      <c r="M12" s="13" t="s">
        <v>142</v>
      </c>
    </row>
    <row r="13" spans="2:13">
      <c r="B13" s="5" t="s">
        <v>134</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50</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36</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48</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166</v>
      </c>
      <c r="B1" s="5"/>
      <c r="C1" s="5"/>
      <c r="D1" s="5"/>
      <c r="E1" s="5"/>
      <c r="F1" s="26" t="s">
        <v>168</v>
      </c>
      <c r="G1" s="5"/>
      <c r="H1" s="5"/>
    </row>
    <row r="2" spans="1:9">
      <c r="A2" s="5"/>
      <c r="B2" s="5"/>
      <c r="C2" s="5"/>
      <c r="D2" s="5"/>
      <c r="E2" s="5"/>
      <c r="G2" s="5"/>
      <c r="H2" s="5"/>
    </row>
    <row r="3" spans="1:9">
      <c r="A3" s="20" t="s">
        <v>209</v>
      </c>
      <c r="B3" s="5"/>
      <c r="C3" s="5"/>
      <c r="D3" s="5"/>
      <c r="E3" s="5"/>
      <c r="F3" s="5"/>
      <c r="G3" s="5"/>
      <c r="H3" s="5"/>
    </row>
    <row r="4" spans="1:9">
      <c r="F4" s="5"/>
      <c r="G4" s="5"/>
      <c r="H4" s="5"/>
    </row>
    <row r="5" spans="1:9">
      <c r="A5" t="s">
        <v>194</v>
      </c>
      <c r="B5" s="5"/>
      <c r="C5" s="5"/>
      <c r="D5" s="5"/>
      <c r="E5" s="5"/>
      <c r="F5" s="5"/>
      <c r="G5" s="5"/>
      <c r="H5" s="5"/>
    </row>
    <row r="6" spans="1:9" ht="43.2">
      <c r="A6" s="22" t="s">
        <v>66</v>
      </c>
      <c r="B6" s="22" t="s">
        <v>190</v>
      </c>
      <c r="C6" s="22" t="s">
        <v>65</v>
      </c>
      <c r="D6" s="22" t="s">
        <v>192</v>
      </c>
      <c r="E6" s="22" t="s">
        <v>191</v>
      </c>
      <c r="F6" s="22" t="s">
        <v>193</v>
      </c>
      <c r="G6" s="22" t="s">
        <v>195</v>
      </c>
      <c r="H6" s="22" t="s">
        <v>205</v>
      </c>
      <c r="I6" s="22" t="s">
        <v>196</v>
      </c>
    </row>
    <row r="7" spans="1:9">
      <c r="A7" s="5" t="s">
        <v>68</v>
      </c>
      <c r="B7" s="5" t="s">
        <v>198</v>
      </c>
      <c r="C7" s="5" t="s">
        <v>199</v>
      </c>
      <c r="D7" s="5">
        <v>95</v>
      </c>
      <c r="E7" s="5">
        <v>185</v>
      </c>
      <c r="F7" s="5">
        <v>1</v>
      </c>
      <c r="G7" s="5">
        <v>10</v>
      </c>
      <c r="H7">
        <f>F7*D7</f>
        <v>95</v>
      </c>
      <c r="I7">
        <f>D7*F7*G7</f>
        <v>950</v>
      </c>
    </row>
    <row r="8" spans="1:9">
      <c r="A8" t="s">
        <v>138</v>
      </c>
      <c r="B8" t="s">
        <v>198</v>
      </c>
      <c r="C8" t="s">
        <v>137</v>
      </c>
      <c r="D8">
        <v>80</v>
      </c>
      <c r="E8" t="s">
        <v>137</v>
      </c>
      <c r="F8">
        <v>0.5</v>
      </c>
      <c r="G8">
        <v>10</v>
      </c>
      <c r="H8">
        <f>F8*D8</f>
        <v>40</v>
      </c>
      <c r="I8">
        <f t="shared" ref="I8:I11" si="0">D8*F8*G8</f>
        <v>400</v>
      </c>
    </row>
    <row r="9" spans="1:9">
      <c r="A9" t="s">
        <v>138</v>
      </c>
      <c r="B9" t="s">
        <v>200</v>
      </c>
      <c r="C9" t="s">
        <v>201</v>
      </c>
      <c r="D9">
        <v>50</v>
      </c>
      <c r="E9" t="s">
        <v>201</v>
      </c>
      <c r="F9">
        <v>0.8</v>
      </c>
      <c r="G9">
        <v>10</v>
      </c>
      <c r="H9">
        <f>F9*D9</f>
        <v>40</v>
      </c>
      <c r="I9">
        <f t="shared" si="0"/>
        <v>400</v>
      </c>
    </row>
    <row r="10" spans="1:9">
      <c r="A10" t="s">
        <v>197</v>
      </c>
      <c r="B10" t="s">
        <v>198</v>
      </c>
      <c r="C10" t="s">
        <v>204</v>
      </c>
      <c r="D10">
        <v>80</v>
      </c>
      <c r="E10" t="s">
        <v>204</v>
      </c>
      <c r="F10">
        <v>0.5</v>
      </c>
      <c r="G10">
        <v>10</v>
      </c>
      <c r="H10">
        <f>F10*D10</f>
        <v>40</v>
      </c>
      <c r="I10">
        <f t="shared" si="0"/>
        <v>400</v>
      </c>
    </row>
    <row r="11" spans="1:9">
      <c r="A11" t="s">
        <v>139</v>
      </c>
      <c r="B11" t="s">
        <v>200</v>
      </c>
      <c r="C11" t="s">
        <v>202</v>
      </c>
      <c r="D11">
        <v>30</v>
      </c>
      <c r="E11" t="s">
        <v>203</v>
      </c>
      <c r="F11">
        <v>0.6</v>
      </c>
      <c r="G11">
        <v>0</v>
      </c>
      <c r="H11">
        <f>F11*D11</f>
        <v>18</v>
      </c>
      <c r="I11">
        <f t="shared" si="0"/>
        <v>0</v>
      </c>
    </row>
    <row r="12" spans="1:9">
      <c r="D12">
        <f>SUM(D7:D11)</f>
        <v>335</v>
      </c>
      <c r="F12">
        <f>SUM(F7:F11)</f>
        <v>3.4</v>
      </c>
      <c r="H12">
        <f>SUM(H7:H11)</f>
        <v>233</v>
      </c>
      <c r="I12" s="25">
        <f>SUM(I7:I11)/H12</f>
        <v>9.2274678111587978</v>
      </c>
    </row>
    <row r="14" spans="1:9">
      <c r="A14" s="19" t="s">
        <v>206</v>
      </c>
    </row>
    <row r="15" spans="1:9">
      <c r="A15" s="20" t="s">
        <v>208</v>
      </c>
    </row>
    <row r="17" spans="1:1">
      <c r="A17" t="s">
        <v>397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211</v>
      </c>
    </row>
    <row r="3" spans="1:14">
      <c r="A3" s="14" t="s">
        <v>212</v>
      </c>
      <c r="B3" s="14" t="s">
        <v>213</v>
      </c>
      <c r="C3" s="14" t="s">
        <v>214</v>
      </c>
      <c r="D3" s="14" t="s">
        <v>127</v>
      </c>
      <c r="E3" s="14" t="s">
        <v>215</v>
      </c>
      <c r="F3" s="14" t="s">
        <v>216</v>
      </c>
      <c r="G3" s="14" t="s">
        <v>89</v>
      </c>
      <c r="H3" s="14" t="s">
        <v>217</v>
      </c>
      <c r="I3" s="14" t="s">
        <v>222</v>
      </c>
      <c r="J3" s="14" t="s">
        <v>223</v>
      </c>
      <c r="K3" s="14" t="s">
        <v>237</v>
      </c>
      <c r="L3" s="14" t="s">
        <v>225</v>
      </c>
    </row>
    <row r="4" spans="1:14">
      <c r="I4" t="s">
        <v>227</v>
      </c>
      <c r="K4" t="s">
        <v>238</v>
      </c>
      <c r="L4" t="s">
        <v>226</v>
      </c>
    </row>
    <row r="5" spans="1:14">
      <c r="L5" s="19" t="s">
        <v>282</v>
      </c>
    </row>
    <row r="8" spans="1:14">
      <c r="A8" s="27" t="s">
        <v>228</v>
      </c>
    </row>
    <row r="10" spans="1:14">
      <c r="A10" t="s">
        <v>218</v>
      </c>
    </row>
    <row r="11" spans="1:14">
      <c r="A11" s="14" t="s">
        <v>212</v>
      </c>
      <c r="B11" s="14" t="s">
        <v>213</v>
      </c>
      <c r="C11" s="14" t="s">
        <v>214</v>
      </c>
      <c r="D11" s="14" t="s">
        <v>127</v>
      </c>
      <c r="E11" s="14" t="s">
        <v>215</v>
      </c>
      <c r="F11" s="14" t="s">
        <v>216</v>
      </c>
      <c r="G11" s="14" t="s">
        <v>89</v>
      </c>
      <c r="H11" s="14" t="s">
        <v>217</v>
      </c>
      <c r="I11" s="14" t="s">
        <v>222</v>
      </c>
      <c r="J11" s="14" t="s">
        <v>223</v>
      </c>
      <c r="K11" s="14" t="s">
        <v>237</v>
      </c>
      <c r="L11" s="14" t="s">
        <v>225</v>
      </c>
    </row>
    <row r="12" spans="1:14">
      <c r="A12">
        <v>4541</v>
      </c>
      <c r="B12">
        <v>221</v>
      </c>
      <c r="C12">
        <v>844</v>
      </c>
      <c r="D12">
        <v>73</v>
      </c>
      <c r="E12" t="s">
        <v>219</v>
      </c>
      <c r="F12" t="s">
        <v>220</v>
      </c>
      <c r="G12" t="s">
        <v>221</v>
      </c>
      <c r="H12" s="29">
        <v>46075</v>
      </c>
      <c r="I12">
        <v>60</v>
      </c>
      <c r="J12">
        <v>50</v>
      </c>
      <c r="K12">
        <f>(J12+I12)/2</f>
        <v>55</v>
      </c>
      <c r="L12">
        <f>0.3*K12+0.7*D12</f>
        <v>67.599999999999994</v>
      </c>
      <c r="N12" t="s">
        <v>239</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252</v>
      </c>
      <c r="D1" t="s">
        <v>267</v>
      </c>
    </row>
    <row r="3" spans="1:5">
      <c r="C3" t="s">
        <v>66</v>
      </c>
      <c r="D3" s="14" t="s">
        <v>253</v>
      </c>
      <c r="E3" s="14" t="s">
        <v>110</v>
      </c>
    </row>
    <row r="4" spans="1:5">
      <c r="C4" s="14" t="s">
        <v>244</v>
      </c>
    </row>
    <row r="5" spans="1:5">
      <c r="C5" t="s">
        <v>76</v>
      </c>
      <c r="D5" t="s">
        <v>254</v>
      </c>
    </row>
    <row r="6" spans="1:5">
      <c r="C6" t="s">
        <v>80</v>
      </c>
      <c r="D6" t="s">
        <v>255</v>
      </c>
    </row>
    <row r="7" spans="1:5">
      <c r="C7" t="s">
        <v>78</v>
      </c>
      <c r="D7" t="s">
        <v>256</v>
      </c>
      <c r="E7" t="s">
        <v>268</v>
      </c>
    </row>
    <row r="8" spans="1:5" ht="28.8">
      <c r="C8" t="s">
        <v>85</v>
      </c>
      <c r="D8" t="s">
        <v>257</v>
      </c>
      <c r="E8" s="5" t="s">
        <v>258</v>
      </c>
    </row>
    <row r="9" spans="1:5">
      <c r="C9" t="s">
        <v>68</v>
      </c>
      <c r="D9" t="s">
        <v>256</v>
      </c>
    </row>
    <row r="10" spans="1:5" ht="43.2">
      <c r="C10" t="s">
        <v>69</v>
      </c>
      <c r="D10" s="5" t="s">
        <v>259</v>
      </c>
      <c r="E10" s="19" t="s">
        <v>260</v>
      </c>
    </row>
    <row r="12" spans="1:5">
      <c r="C12" s="14" t="s">
        <v>245</v>
      </c>
    </row>
    <row r="13" spans="1:5">
      <c r="C13" t="s">
        <v>240</v>
      </c>
      <c r="D13" t="s">
        <v>261</v>
      </c>
      <c r="E13" s="19" t="s">
        <v>262</v>
      </c>
    </row>
    <row r="14" spans="1:5">
      <c r="C14" t="s">
        <v>241</v>
      </c>
      <c r="D14" t="s">
        <v>263</v>
      </c>
      <c r="E14" t="s">
        <v>264</v>
      </c>
    </row>
    <row r="15" spans="1:5">
      <c r="C15" t="s">
        <v>242</v>
      </c>
      <c r="D15" t="s">
        <v>263</v>
      </c>
      <c r="E15" t="s">
        <v>265</v>
      </c>
    </row>
    <row r="16" spans="1:5">
      <c r="C16" t="s">
        <v>243</v>
      </c>
      <c r="D16" t="s">
        <v>266</v>
      </c>
    </row>
    <row r="19" spans="2:2">
      <c r="B19" t="s">
        <v>246</v>
      </c>
    </row>
    <row r="21" spans="2:2">
      <c r="B21" t="s">
        <v>247</v>
      </c>
    </row>
    <row r="24" spans="2:2">
      <c r="B24" t="s">
        <v>248</v>
      </c>
    </row>
    <row r="25" spans="2:2">
      <c r="B25" t="s">
        <v>249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364</v>
      </c>
    </row>
    <row r="2" spans="1:4">
      <c r="A2" s="14" t="s">
        <v>373</v>
      </c>
      <c r="B2" s="14" t="s">
        <v>369</v>
      </c>
    </row>
    <row r="3" spans="1:4">
      <c r="A3" t="s">
        <v>365</v>
      </c>
      <c r="B3" t="s">
        <v>370</v>
      </c>
    </row>
    <row r="4" spans="1:4">
      <c r="A4" t="s">
        <v>367</v>
      </c>
    </row>
    <row r="5" spans="1:4">
      <c r="A5" t="s">
        <v>366</v>
      </c>
      <c r="B5" t="s">
        <v>371</v>
      </c>
    </row>
    <row r="6" spans="1:4">
      <c r="A6" t="s">
        <v>368</v>
      </c>
      <c r="B6" t="s">
        <v>372</v>
      </c>
    </row>
    <row r="8" spans="1:4">
      <c r="A8" s="14" t="s">
        <v>374</v>
      </c>
    </row>
    <row r="9" spans="1:4">
      <c r="A9" t="s">
        <v>85</v>
      </c>
      <c r="B9" t="s">
        <v>373</v>
      </c>
    </row>
    <row r="12" spans="1:4">
      <c r="A12" s="14" t="s">
        <v>375</v>
      </c>
    </row>
    <row r="13" spans="1:4">
      <c r="A13" s="14" t="s">
        <v>376</v>
      </c>
      <c r="B13" s="14" t="s">
        <v>391</v>
      </c>
      <c r="C13" s="14" t="s">
        <v>377</v>
      </c>
      <c r="D13" s="14" t="s">
        <v>378</v>
      </c>
    </row>
    <row r="14" spans="1:4">
      <c r="A14" t="s">
        <v>389</v>
      </c>
    </row>
    <row r="16" spans="1:4">
      <c r="A16" t="s">
        <v>390</v>
      </c>
    </row>
    <row r="17" spans="1:3">
      <c r="A17" t="s">
        <v>379</v>
      </c>
      <c r="C17" s="3"/>
    </row>
    <row r="18" spans="1:3">
      <c r="A18" t="s">
        <v>380</v>
      </c>
    </row>
    <row r="19" spans="1:3">
      <c r="A19" t="s">
        <v>381</v>
      </c>
    </row>
    <row r="20" spans="1:3">
      <c r="A20" t="s">
        <v>382</v>
      </c>
    </row>
    <row r="21" spans="1:3">
      <c r="A21" t="s">
        <v>383</v>
      </c>
    </row>
    <row r="22" spans="1:3">
      <c r="A22" t="s">
        <v>384</v>
      </c>
    </row>
    <row r="23" spans="1:3">
      <c r="A23" t="s">
        <v>385</v>
      </c>
    </row>
    <row r="24" spans="1:3">
      <c r="A24" t="s">
        <v>386</v>
      </c>
    </row>
    <row r="25" spans="1:3">
      <c r="A25" t="s">
        <v>387</v>
      </c>
    </row>
    <row r="26" spans="1:3">
      <c r="A26" t="s">
        <v>388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352</v>
      </c>
    </row>
    <row r="3" spans="1:1">
      <c r="A3" s="14" t="s">
        <v>483</v>
      </c>
    </row>
    <row r="4" spans="1:1">
      <c r="A4" t="s">
        <v>353</v>
      </c>
    </row>
    <row r="5" spans="1:1">
      <c r="A5" t="s">
        <v>355</v>
      </c>
    </row>
    <row r="6" spans="1:1">
      <c r="A6" t="s">
        <v>354</v>
      </c>
    </row>
    <row r="8" spans="1:1">
      <c r="A8" s="14" t="s">
        <v>484</v>
      </c>
    </row>
    <row r="9" spans="1:1">
      <c r="A9" t="s">
        <v>485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486</v>
      </c>
    </row>
    <row r="2" spans="1:2">
      <c r="A2" t="s">
        <v>487</v>
      </c>
    </row>
    <row r="3" spans="1:2">
      <c r="A3" t="s">
        <v>488</v>
      </c>
    </row>
    <row r="4" spans="1:2">
      <c r="A4" t="s">
        <v>489</v>
      </c>
    </row>
    <row r="5" spans="1:2">
      <c r="A5" t="s">
        <v>497</v>
      </c>
      <c r="B5" t="s">
        <v>498</v>
      </c>
    </row>
    <row r="8" spans="1:2">
      <c r="A8" s="14" t="s">
        <v>490</v>
      </c>
    </row>
    <row r="9" spans="1:2">
      <c r="A9" t="s">
        <v>491</v>
      </c>
    </row>
    <row r="10" spans="1:2">
      <c r="A10" t="s">
        <v>492</v>
      </c>
    </row>
    <row r="11" spans="1:2">
      <c r="A11" t="s">
        <v>493</v>
      </c>
    </row>
    <row r="12" spans="1:2">
      <c r="A12" t="s">
        <v>494</v>
      </c>
      <c r="B12" t="s">
        <v>495</v>
      </c>
    </row>
    <row r="13" spans="1:2">
      <c r="A13" t="s">
        <v>496</v>
      </c>
    </row>
    <row r="14" spans="1:2">
      <c r="A14" t="s">
        <v>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633</v>
      </c>
      <c r="B1" s="54" t="s">
        <v>662</v>
      </c>
      <c r="C1" s="54" t="s">
        <v>663</v>
      </c>
      <c r="D1" s="54" t="s">
        <v>664</v>
      </c>
    </row>
    <row r="2" spans="1:4" ht="54" thickBot="1">
      <c r="A2" s="54" t="s">
        <v>665</v>
      </c>
      <c r="B2" s="53" t="s">
        <v>666</v>
      </c>
      <c r="C2" s="53" t="s">
        <v>667</v>
      </c>
      <c r="D2" s="53" t="s">
        <v>668</v>
      </c>
    </row>
    <row r="3" spans="1:4" ht="172.8" thickBot="1">
      <c r="A3" s="54" t="s">
        <v>669</v>
      </c>
      <c r="B3" s="53" t="s">
        <v>672</v>
      </c>
      <c r="C3" s="53" t="s">
        <v>671</v>
      </c>
      <c r="D3" s="53" t="s">
        <v>670</v>
      </c>
    </row>
    <row r="4" spans="1:4" ht="40.799999999999997" thickBot="1">
      <c r="A4" s="53" t="s">
        <v>634</v>
      </c>
      <c r="B4" s="53" t="s">
        <v>635</v>
      </c>
      <c r="C4" s="53" t="s">
        <v>636</v>
      </c>
      <c r="D4" s="53" t="s">
        <v>637</v>
      </c>
    </row>
    <row r="5" spans="1:4" ht="40.799999999999997" thickBot="1">
      <c r="A5" s="53" t="s">
        <v>638</v>
      </c>
      <c r="B5" s="53" t="s">
        <v>639</v>
      </c>
      <c r="C5" s="53" t="s">
        <v>640</v>
      </c>
      <c r="D5" s="53" t="s">
        <v>641</v>
      </c>
    </row>
    <row r="6" spans="1:4" ht="27.6" thickBot="1">
      <c r="A6" s="53" t="s">
        <v>642</v>
      </c>
      <c r="B6" s="53" t="s">
        <v>643</v>
      </c>
      <c r="C6" s="53" t="s">
        <v>644</v>
      </c>
      <c r="D6" s="53" t="s">
        <v>645</v>
      </c>
    </row>
    <row r="7" spans="1:4" ht="27.6" thickBot="1">
      <c r="A7" s="53" t="s">
        <v>646</v>
      </c>
      <c r="B7" s="53" t="s">
        <v>647</v>
      </c>
      <c r="C7" s="53" t="s">
        <v>648</v>
      </c>
      <c r="D7" s="53" t="s">
        <v>649</v>
      </c>
    </row>
    <row r="8" spans="1:4" ht="27.6" thickBot="1">
      <c r="A8" s="53" t="s">
        <v>650</v>
      </c>
      <c r="B8" s="53" t="s">
        <v>651</v>
      </c>
      <c r="C8" s="53" t="s">
        <v>652</v>
      </c>
      <c r="D8" s="53" t="s">
        <v>653</v>
      </c>
    </row>
    <row r="9" spans="1:4" ht="27.6" thickBot="1">
      <c r="A9" s="53" t="s">
        <v>654</v>
      </c>
      <c r="B9" s="53" t="s">
        <v>655</v>
      </c>
      <c r="C9" s="53" t="s">
        <v>656</v>
      </c>
      <c r="D9" s="53" t="s">
        <v>657</v>
      </c>
    </row>
    <row r="10" spans="1:4" ht="40.799999999999997" thickBot="1">
      <c r="A10" s="53" t="s">
        <v>658</v>
      </c>
      <c r="B10" s="53" t="s">
        <v>659</v>
      </c>
      <c r="C10" s="53" t="s">
        <v>660</v>
      </c>
      <c r="D10" s="53" t="s">
        <v>661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Tasks Guidline</vt:lpstr>
      <vt:lpstr>Current Tasks</vt:lpstr>
      <vt:lpstr>פרטי משתמש</vt:lpstr>
      <vt:lpstr>מאפיינים - כללי</vt:lpstr>
      <vt:lpstr>internal traits</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2026-04-12T21:21:11Z</dcterms:modified>
</cp:coreProperties>
</file>