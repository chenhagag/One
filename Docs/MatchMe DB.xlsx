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SPFX\MatchMe\Docs\"/>
    </mc:Choice>
  </mc:AlternateContent>
  <xr:revisionPtr revIDLastSave="0" documentId="13_ncr:1_{E5EFD0DB-0246-4060-9A44-E66728482D85}" xr6:coauthVersionLast="47" xr6:coauthVersionMax="47" xr10:uidLastSave="{00000000-0000-0000-0000-000000000000}"/>
  <bookViews>
    <workbookView xWindow="-108" yWindow="-108" windowWidth="23256" windowHeight="12456" activeTab="3" xr2:uid="{00000000-000D-0000-FFFF-FFFF00000000}"/>
  </bookViews>
  <sheets>
    <sheet name="Tasks Guidline" sheetId="12" r:id="rId1"/>
    <sheet name="Current Tasks" sheetId="16" r:id="rId2"/>
    <sheet name="פרטי משתמש" sheetId="3" r:id="rId3"/>
    <sheet name="Internal Traits" sheetId="1" r:id="rId4"/>
    <sheet name="internal traits - Old" sheetId="14" r:id="rId5"/>
    <sheet name="מאפיינים חיצוניים - כללי" sheetId="5" r:id="rId6"/>
    <sheet name="משתמש - מאפיינים" sheetId="2" r:id="rId7"/>
    <sheet name="בניית ציונים" sheetId="9" r:id="rId8"/>
    <sheet name="אלגוריתם ציון פנימי" sheetId="4" r:id="rId9"/>
    <sheet name="אלגוריתם ציון חיצוני" sheetId="6" r:id="rId10"/>
    <sheet name="אלגוריתם שידוכים" sheetId="7" r:id="rId11"/>
    <sheet name="טופס הזנה" sheetId="8" r:id="rId12"/>
    <sheet name="טבלאות דאטה" sheetId="11" r:id="rId13"/>
    <sheet name="שאלות עבור הAI" sheetId="10" r:id="rId14"/>
    <sheet name="בדיקות" sheetId="13" r:id="rId15"/>
    <sheet name="שאלות לפי מלווה" sheetId="15"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6" l="1"/>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5"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<sst xmlns="http://schemas.openxmlformats.org/spreadsheetml/2006/main" count="1367" uniqueCount="808">
  <si>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</si>
  <si>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</si>
  <si>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</si>
  <si>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</si>
  <si>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</si>
  <si>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</si>
  <si>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</si>
  <si>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</si>
  <si>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</si>
  <si>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</si>
  <si>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סחיות</t>
  </si>
  <si>
    <t>emotional_stability</t>
  </si>
  <si>
    <t>יציבות רגשית</t>
  </si>
  <si>
    <t>?</t>
  </si>
  <si>
    <t>פלט בטוח</t>
  </si>
  <si>
    <t>משפחתיות</t>
  </si>
  <si>
    <t>party_orientation</t>
  </si>
  <si>
    <t>נהנתנות בליינית</t>
  </si>
  <si>
    <t>אהבה ליוקרה ונוחות</t>
  </si>
  <si>
    <t>luxury_orientation</t>
  </si>
  <si>
    <t>נהנתנות יוקרתית</t>
  </si>
  <si>
    <t>energy_level</t>
  </si>
  <si>
    <t>אנרגטיות</t>
  </si>
  <si>
    <t>analytical_tendency</t>
  </si>
  <si>
    <t>אנליטיות</t>
  </si>
  <si>
    <t>goophiness</t>
  </si>
  <si>
    <t>שטותניקיות</t>
  </si>
  <si>
    <t>Religiosity</t>
  </si>
  <si>
    <t>דתיות/חילוניות</t>
  </si>
  <si>
    <t>מודעות עצמית</t>
  </si>
  <si>
    <t>self_awareness</t>
  </si>
  <si>
    <t>Humor</t>
  </si>
  <si>
    <t>הומור</t>
  </si>
  <si>
    <t>political_orientation</t>
  </si>
  <si>
    <t>פוליטיות</t>
  </si>
  <si>
    <t>מעורבות חברתית</t>
  </si>
  <si>
    <t>Positivity</t>
  </si>
  <si>
    <t>חיוביות</t>
  </si>
  <si>
    <t>Warmth</t>
  </si>
  <si>
    <t>לבביות</t>
  </si>
  <si>
    <t>openness</t>
  </si>
  <si>
    <t>פתיחות</t>
  </si>
  <si>
    <t>Childishness</t>
  </si>
  <si>
    <t>ילדותיות</t>
  </si>
  <si>
    <t>value_rigidity</t>
  </si>
  <si>
    <t>אהבה לבעלי חיים</t>
  </si>
  <si>
    <t>loves_animals</t>
  </si>
  <si>
    <t>שימוש פנימי</t>
  </si>
  <si>
    <t>appearance_sensitivity</t>
  </si>
  <si>
    <t>רגישות למראה</t>
  </si>
  <si>
    <t>pickiness_score</t>
  </si>
  <si>
    <t>פיקיות</t>
  </si>
  <si>
    <t>שיעור אישור</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</si>
  <si>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</si>
  <si>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</si>
  <si>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</si>
  <si>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</si>
  <si>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</si>
  <si>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</si>
  <si>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</si>
  <si>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</si>
  <si>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</si>
  <si>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</si>
  <si>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</si>
  <si>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</si>
  <si>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</si>
  <si>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</si>
  <si>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</si>
  <si>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</si>
  <si>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</si>
  <si>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</si>
  <si>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</si>
  <si>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</si>
  <si>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</si>
  <si>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</si>
  <si>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</si>
  <si>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</si>
  <si>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</si>
  <si>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</si>
  <si>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</si>
  <si>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</si>
  <si>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</si>
  <si>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</si>
  <si>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</si>
  <si>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</si>
  <si>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</si>
  <si>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</si>
  <si>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</si>
  <si>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</si>
  <si>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</si>
  <si>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</si>
  <si>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</si>
  <si>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</si>
  <si>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</si>
  <si>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</si>
  <si>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</si>
  <si>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</si>
  <si>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</si>
  <si>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</si>
  <si>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</si>
  <si>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</si>
  <si>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</si>
  <si>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</si>
  <si>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</si>
  <si>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</si>
  <si>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</si>
  <si>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</si>
  <si>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</si>
  <si>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</si>
  <si>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</si>
  <si>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</si>
  <si>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</si>
  <si>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</si>
  <si>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</si>
  <si>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</si>
  <si>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</si>
  <si>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</si>
  <si>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</si>
  <si>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</si>
  <si>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</si>
  <si>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</si>
  <si>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</si>
  <si>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</si>
  <si>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</si>
  <si>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</si>
  <si>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</si>
  <si>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</si>
  <si>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</si>
  <si>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</si>
  <si>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</si>
  <si>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</si>
  <si>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</si>
  <si>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</si>
  <si>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</si>
  <si>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</si>
  <si>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</si>
  <si>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</si>
  <si>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</si>
  <si>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</si>
  <si>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</si>
  <si>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</si>
  <si>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</si>
  <si>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</si>
  <si>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</si>
  <si>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</si>
  <si>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</si>
  <si>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</si>
  <si>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</si>
  <si>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</si>
  <si>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</si>
  <si>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</si>
  <si>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</si>
  <si>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</si>
  <si>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</si>
  <si>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</si>
  <si>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</si>
  <si>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</si>
  <si>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</si>
  <si>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</si>
  <si>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</si>
  <si>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</si>
  <si>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</si>
  <si>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</si>
  <si>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</si>
  <si>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</si>
  <si>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</si>
  <si>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</si>
  <si>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</si>
  <si>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</si>
  <si>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</si>
  <si>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</si>
  <si>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</si>
  <si>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</si>
  <si>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</si>
  <si>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</si>
  <si>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</si>
  <si>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</si>
  <si>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</si>
  <si>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</si>
  <si>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</si>
  <si>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</si>
  <si>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</si>
  <si>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</si>
  <si>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</si>
  <si>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</si>
  <si>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</si>
  <si>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</si>
  <si>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</si>
  <si>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</si>
  <si>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</si>
  <si>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</si>
  <si>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</si>
  <si>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</si>
  <si>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</si>
  <si>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</si>
  <si>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</si>
  <si>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</si>
  <si>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</si>
  <si>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</si>
  <si>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</si>
  <si>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</si>
  <si>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</si>
  <si>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</si>
  <si>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</si>
  <si>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</si>
  <si>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</si>
  <si>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</si>
  <si>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</si>
  <si>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</si>
  <si>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</si>
  <si>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</si>
  <si>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</si>
  <si>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</si>
  <si>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</si>
  <si>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</si>
  <si>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</si>
  <si>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</si>
  <si>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</si>
  <si>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</si>
  <si>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</si>
  <si>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</si>
  <si>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</si>
  <si>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</si>
  <si>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</si>
  <si>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</si>
  <si>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</si>
  <si>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</si>
  <si>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</si>
  <si>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</si>
  <si>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</si>
  <si>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</si>
  <si>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</si>
  <si>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</si>
  <si>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</si>
  <si>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</si>
  <si>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</si>
  <si>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</si>
  <si>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</si>
  <si>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</si>
  <si>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</si>
  <si>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</si>
  <si>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</si>
  <si>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</si>
  <si>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</si>
  <si>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</si>
  <si>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</si>
  <si>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</si>
  <si>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</si>
  <si>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</si>
  <si>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</si>
  <si>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</si>
  <si>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</si>
  <si>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</si>
  <si>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</si>
  <si>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</si>
  <si>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</si>
  <si>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</si>
  <si>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</si>
  <si>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</si>
  <si>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</si>
  <si>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</si>
  <si>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</si>
  <si>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</si>
  <si>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</si>
  <si>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</si>
  <si>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</si>
  <si>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</si>
  <si>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</si>
  <si>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</si>
  <si>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DealBrakers</t>
  </si>
  <si>
    <t>SexuallIdentity</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</si>
  <si>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</si>
  <si>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</si>
  <si>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</si>
  <si>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</si>
  <si>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</si>
  <si>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</si>
  <si>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</si>
  <si>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</si>
  <si>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</si>
  <si>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</si>
  <si>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</si>
  <si>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</si>
  <si>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</si>
  <si>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</si>
  <si>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</si>
  <si>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</si>
  <si>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</si>
  <si>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</si>
  <si>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</si>
  <si>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</si>
  <si>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</si>
  <si>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</si>
  <si>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</si>
  <si>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</si>
  <si>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</si>
  <si>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</si>
  <si>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</si>
  <si>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</si>
  <si>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</si>
  <si>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</si>
  <si>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</si>
  <si>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</si>
  <si>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</si>
  <si>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</si>
  <si>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</si>
  <si>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</si>
  <si>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</si>
  <si>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</si>
  <si>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</si>
  <si>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</si>
  <si>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</si>
  <si>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</si>
  <si>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</si>
  <si>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</si>
  <si>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</si>
  <si>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</si>
  <si>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</si>
  <si>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</si>
  <si>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</si>
  <si>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</si>
  <si>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</si>
  <si>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</si>
  <si>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</si>
  <si>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</si>
  <si>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</si>
  <si>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</si>
  <si>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</si>
  <si>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</si>
  <si>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</si>
  <si>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</si>
  <si>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לפי הגדרת התאמות טיפוסים שנעשה ברמת שניה</t>
  </si>
  <si>
    <t>אהבת הארץ וציונות</t>
  </si>
  <si>
    <t>צמחונות</t>
  </si>
  <si>
    <t>היפיות</t>
  </si>
  <si>
    <t>מוסר עבודה</t>
  </si>
  <si>
    <t>"ילד טוב"</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</si>
  <si>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</si>
  <si>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</si>
  <si>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</si>
  <si>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</si>
  <si>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</si>
  <si>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</si>
  <si>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</si>
  <si>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</si>
  <si>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</si>
  <si>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</si>
  <si>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</si>
  <si>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</si>
  <si>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</si>
  <si>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</si>
  <si>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</si>
  <si>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</si>
  <si>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</si>
  <si>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</si>
  <si>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</si>
  <si>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</si>
  <si>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</si>
  <si>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</si>
  <si>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</si>
  <si>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</si>
  <si>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</si>
  <si>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</si>
  <si>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</si>
  <si>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</si>
  <si>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</si>
  <si>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</si>
  <si>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</si>
  <si>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</si>
  <si>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</si>
  <si>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</si>
  <si>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</si>
  <si>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</si>
  <si>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</si>
  <si>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</si>
  <si>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</si>
  <si>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</si>
  <si>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</si>
  <si>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</si>
  <si>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</si>
  <si>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</si>
  <si>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</si>
  <si>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</si>
  <si>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</si>
  <si>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</si>
  <si>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</si>
  <si>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</si>
  <si>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</si>
  <si>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</si>
  <si>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</si>
  <si>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</si>
  <si>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</si>
  <si>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</si>
  <si>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</si>
  <si>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</si>
  <si>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</si>
  <si>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</si>
  <si>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</si>
  <si>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</si>
  <si>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</si>
  <si>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</si>
  <si>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</si>
  <si>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</si>
  <si>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</si>
  <si>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</si>
  <si>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</si>
  <si>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</si>
  <si>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</si>
  <si>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</si>
  <si>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</si>
  <si>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</si>
  <si>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</si>
  <si>
    <t>סוכן מנתח</t>
  </si>
  <si>
    <t>קבוצה</t>
  </si>
  <si>
    <t>אינטליגנציה רגשית</t>
  </si>
  <si>
    <t>פרופיל קוגנטיבי</t>
  </si>
  <si>
    <t>אינטליגנציה מחשבתית</t>
  </si>
  <si>
    <t>IQ</t>
  </si>
  <si>
    <t>מאפיינים שלא נכנסו בינתיים לMVP, להתעלם:</t>
  </si>
  <si>
    <t>הטיפוס המסיבתי</t>
  </si>
  <si>
    <t>FunImportance</t>
  </si>
  <si>
    <t xml:space="preserve">שטותניקיות בקטע goophi. שים לב - לא מדובר פה על קלילות ועל הומור סטנדרטיים אלא על אנשים עם נטיה לשטויות מהסוג המביך. למשל כאלה שעושים את ריקוד הרובוט. מן גופיות חנונית כזאת. זו הכוונה. </t>
  </si>
  <si>
    <t>גיקיות</t>
  </si>
  <si>
    <t>-</t>
  </si>
  <si>
    <t>עד כמה המשתמש בעל חזות גברית/נשית</t>
  </si>
  <si>
    <t>סגנון</t>
  </si>
  <si>
    <t>פרופיל רגשי</t>
  </si>
  <si>
    <t>אורח חיים</t>
  </si>
  <si>
    <t>וייב</t>
  </si>
  <si>
    <t>ערכים</t>
  </si>
  <si>
    <t>כללי</t>
  </si>
  <si>
    <t>Mainstreamness</t>
  </si>
  <si>
    <t>EQ</t>
  </si>
  <si>
    <t xml:space="preserve">רמת אנרגיה כללית. האם מדובר בבנאדם קופצני שצריך כל הזמן לעשות דברים, לדבר, לצאת וכו' או בבנאדם אם וייב יותר צ'יל ורגוע. ככל שרמת האנרגיה גבוהה יותר נתן ציון גבוה יותר. </t>
  </si>
  <si>
    <t xml:space="preserve">רמת בוטות. אם אתה לא מזהה בוטות אצל המשתמש אחרי 10 שאלות כנראה שאפשר להגיד במידה גבוהה שיש לו בוטות נמוכה. </t>
  </si>
  <si>
    <t>אינטלקטואליות</t>
  </si>
  <si>
    <t>יוקרה תעסוקתית</t>
  </si>
  <si>
    <t>מעל המשתמש או -20</t>
  </si>
  <si>
    <t>מראה</t>
  </si>
  <si>
    <t>זהות</t>
  </si>
  <si>
    <t>האם יש משהו נוסף לגבי הזהות שלך שחשוב שנדע...?  בנוסח שכתבנו.</t>
  </si>
  <si>
    <t>סוגי בדיקות</t>
  </si>
  <si>
    <t>משתמשים שאני מכירה טוב ולראות את הניתוח</t>
  </si>
  <si>
    <t>זוגות קיימים ולבדוק את ההתאמה ביניהם</t>
  </si>
  <si>
    <t>חוויית משתמש של משתמשים רנדומליים - האם השיחה זרמה, האם חפר מדי, האם היו משלמים על דבר כזה וכו'</t>
  </si>
  <si>
    <t>מקרי קצה</t>
  </si>
  <si>
    <t>משתמשים שעונים תשובות קצרות מדי</t>
  </si>
  <si>
    <t>טרנס - ישיר או מרומז</t>
  </si>
  <si>
    <t>א-מיני ישיר או מרומז</t>
  </si>
  <si>
    <t>מכורים למין/סמים, BDSM</t>
  </si>
  <si>
    <t>לחשוב אם בכלל זה רלוונטי לנו</t>
  </si>
  <si>
    <t>טרולים</t>
  </si>
  <si>
    <t>סוגים שונים של אנשים אם נצליח להביא</t>
  </si>
  <si>
    <t>רלוונטי אולי רק לזוגות כי אני לא אדע אם הניתוח טוב אלא אם אני מכירה אישית</t>
  </si>
  <si>
    <t>שיחה עם הצ'אט</t>
  </si>
  <si>
    <t>בוצע, לבדוק בנייד</t>
  </si>
  <si>
    <t>העלאת תמונות</t>
  </si>
  <si>
    <t>בוצע, לבדוק</t>
  </si>
  <si>
    <t>יצירת כרטיס התאמה</t>
  </si>
  <si>
    <t>דירוגים</t>
  </si>
  <si>
    <t>נוטיפיקציית התאמה</t>
  </si>
  <si>
    <t xml:space="preserve">מובייל </t>
  </si>
  <si>
    <t>עיצוב, חוויית משתמש וכו'</t>
  </si>
  <si>
    <t>אריזה לאפליקציה אמיתית</t>
  </si>
  <si>
    <t>מנויים תשלומים וכו'</t>
  </si>
  <si>
    <t xml:space="preserve">אבטחת מידע </t>
  </si>
  <si>
    <t>אבטחה - AI מול המשתמש</t>
  </si>
  <si>
    <t>בדיקות</t>
  </si>
  <si>
    <t xml:space="preserve">ניהול </t>
  </si>
  <si>
    <t>אנליזה</t>
  </si>
  <si>
    <t>כמה משתמשים יש, כמה קיבלו התאמה, זמן המתנה ממוצע וכו'</t>
  </si>
  <si>
    <t>הסבר כללי</t>
  </si>
  <si>
    <t>מה כן נחשב סיגנל</t>
  </si>
  <si>
    <t>התבסס על:
- השכלה פורמלית (תואר, תחום לימודים)
- סוג המקצוע
- רמת מומחיות או בכירות
- תחום עיסוק (למשל: הייטק, רפואה, הנדסה וכו')
- תיאורים של הקריירה או המסלול המקצועי</t>
  </si>
  <si>
    <t>נחמדות / חום / חברותיות ≠ אינטליגנציה רגשית</t>
  </si>
  <si>
    <t xml:space="preserve">הבחנות </t>
  </si>
  <si>
    <t xml:space="preserve">
- רגישות ≠ חוסר יציבות  
  אדם יכול להיות רגיש אך יציב.
- עומק רגשי ≠ חוסר יציבות  
  אדם עמוק רגשית לא בהכרח נוטה לדרמה, דיכאון או קיצוניות.
</t>
  </si>
  <si>
    <t>לא מדובר ברצון להקים משפחה וילדים משלו, אלא במידת הקרבה, המעורבות והמרכזיות של משפחת המוצא בחיים בפועל.</t>
  </si>
  <si>
    <t xml:space="preserve">
- אדם יכול ליהנות ממסיבות אך לא להיות טיפוס מסיבתי  
- התכונה מודדת סגנון חיים, לא העדפה נקודתית  </t>
  </si>
  <si>
    <t xml:space="preserve">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t>
  </si>
  <si>
    <t xml:space="preserve">
- מידת הקרבה להורים ולמשפחה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t>
  </si>
  <si>
    <t xml:space="preserve">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t>
  </si>
  <si>
    <t xml:space="preserve">
- זה לא מודד צורך חברתי — אדם יכול להיות מופנם מאוד ועדיין מאוד אוהב אנשים  
- זה לא מודד נהנתנות  
- זה לא מודד אינטליגנציה חברתית  
- מדובר בסגנון נוכחות וביטוי בלבד
- לא להסיק מוחצנות רק מזה שהוא אוהב אנשים או בילויים</t>
  </si>
  <si>
    <t>:
-לא מדובר במסיבות דווקא — זה כולל כל סוג של בילוי וחוויה
- לא למדוד כאן מוחצנות — אדם יכול להיות מופנם ונהנתן
- לא למדוד כאן רק אמירות כלליות — חשוב גם ביטוי בפועל</t>
  </si>
  <si>
    <t>הערכת מודעות עצמית
עד כמה המשתמש מבין את עצמו — רגשות, דפוסים, חוזקות וחולשות — ויכול לדבר עליהם בצורה מודעת..
- אם אין רפלקציה אישית ברורה → לא לתת ציון גבוה
- אם יש תיאור עצמי עמוק או מודע → העלה ציון</t>
  </si>
  <si>
    <t>:
- ניסוח יפה ≠ מודעות עצמית
- ניתוח כללי ≠ הבנה של עצמי</t>
  </si>
  <si>
    <t>הערכת חשיבות והזדהות עם הומור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t>
  </si>
  <si>
    <t xml:space="preserve">
- אמירות ישירות ("יש לי חוש הומור", "אני מאוד ציני", "חשוב לי הומור")
- הדגשה של הומור כמרכיב חשוב בזוגיות
</t>
  </si>
  <si>
    <t xml:space="preserve">
- עד כמה המשתמש מתעניין או עוסק בפוליטיקה
- עד כמה פוליטיקה היא חלק מהשיח שלו
- עד כמה הוא מבטא דעות פוליטיות באופן ברור
- עד כמה הנושא תופס מקום בחיים ובזהות שלו</t>
  </si>
  <si>
    <t xml:space="preserve">
- לא מדובר ביציבות רגשית  
  אדם יכול להיות יציב אך שלילי  
- לא מדובר בעומק או אינטליגנציה  
- לא מדובר בקלילות בלבד  </t>
  </si>
  <si>
    <t xml:space="preserve">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t>
  </si>
  <si>
    <t xml:space="preserve">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t>
  </si>
  <si>
    <t>הערכת פתיחות (Openness).
עד כמה המשתמש פתוח לרעיונות, חוויות וסגנונות חיים שונים — ועד כמה הוא נמשך אקטיבית להתנסות ולחוות דברים חדשים, גם אם הם מחוץ לאזור הנוחות.
 חשוב למדוד גם פתיחות מחשבתית וגם פתיחות חווייתית בפועל
חוקים:
- אם המשתמש מבטא רצון לחוות, להתנסות או לחפש חוויות → העלה ציון- אם המשתמש מבטא קבלה או סקרנות כלפי סגנונות חיים שונים → העלה ציון
- אם המשתמש מבטא הסתייגות משונות או היצמדות למה שמוכר → הורד ציון</t>
  </si>
  <si>
    <t>:
-  לא מדובר בפתיחות רגשית
- לא מדובר באינטלקטואליות (עומק שיח)</t>
  </si>
  <si>
    <t xml:space="preserve">
- לא מדובר באחריות או בגרות תפקודית  
- אדם יכול להיות מאוד אחראי וחכם אך עם וייב ילדותי  
- לא מדובר באינטליגנציה או עומק  
- לא מדובר ברצינות לחיים  
- לא להסיק ילדותיות מחוסר אחריות</t>
  </si>
  <si>
    <t xml:space="preserve">
הבחנות חשובות:
- לא מדובר בפוליטיקה או עמדות ספציפיות
- לא להסיק מהזכרת ישראל בלבד</t>
  </si>
  <si>
    <t>הערכת מוסר עבודה
עד כמה המשתמש רציני, מחויב ומשקיע בעבודה או בעשייה שלו — ועד כמה יש לו גישה של התמדה, אחריות ורצון לעשות דברים כמו שצריך.
חוקים:
- אם המשתמש מדבר על התמדה, השקעה, מחויבות או משמעת עצמית → העלה ציון
- אם המשתמש מתאר את עצמו כעצלן, לא עקבי או חסר משמעת → הורד ציון</t>
  </si>
  <si>
    <t xml:space="preserve">
- יחס לעבודה, קריירה או עשייה
- מידת האחריות והמחויבות
- השקעה, התמדה וחריצות
- שאיפה לעשות דברים היטב ולא רק "לסמן וי"
- גישה של משמעת עצמית והתמדה לאורך זמן</t>
  </si>
  <si>
    <t xml:space="preserve">
- לא מדובר במוסר או טוב/רע
- לא מדובר בפשע או עבירות חמורות
- אדם יכול להיות חכם, מוסרי ואחראי אך לא "ילד טוב"
- מדובר בסגנון התנהלות מול חוקים ומסגרות
-- לא להסיק ממוסר או אינטליגנציה</t>
  </si>
  <si>
    <t xml:space="preserve">
- טעם תרבותי (מוזיקה, קולנוע, בילויים) לא מיינסטרימי
- העדפה לדברים נישתיים או פחות פופולריים
- סגנון אישי שמדגיש ייחודיות או אלטרנטיביות
 לעיתים גם נימה של מודעות לסטייל או ייחודיות</t>
  </si>
  <si>
    <t>הערכת וייב תל אביבי
עד כמה המשתמש מתחבר לסגנון החיים, התרבות והוייב המזוהים עם תל אביב .
חוקים:
- אם המשתמש מבטא אהבה או חיבור לתל אביב או לוייב שלה → העלה ציון
- אם המשתמש מבטא חוסר חיבור או אנטגוניזם → הורד ציון משמעותית
 המשתמש מבטא חיבור לפריפריה - הורד ציון</t>
  </si>
  <si>
    <t xml:space="preserve">
- יחס ישיר לתל אביב (אהבה / חיבור / הסתייגות)
- הזדהות עם סגנון החיים המזוהה עם תל אביב
- העדפה או דחייה של בילויים, סגנון חברתי ותרבות המזוהים עם העיר</t>
  </si>
  <si>
    <t xml:space="preserve">
- לא מדובר בכמה המשתמש עירוני או יוצא לבלות
- אדם יכול לא לגור בתל אביב ועדיין להזדהות איתה מאוד
- מדובר בהזדהות תרבותית־סגנונית ספציפית</t>
  </si>
  <si>
    <t xml:space="preserve">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t>
  </si>
  <si>
    <t xml:space="preserve">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t>
  </si>
  <si>
    <t xml:space="preserve">
- זהות מוצהרת (למשל: רוסי/אוקראיני וכו') — סיגנל חזק
- חיבור או הזדהות עם התרבות
- וייב וסגנון כללי (חברתי, תקשורתי, תרבותי)
- תחושת שייכות או חיבור לקהילה</t>
  </si>
  <si>
    <t xml:space="preserve">
- יש להבחין בין הומור לבין כוונה אמיתית
- יש להעריך לפי דפוס ולא לפי אמירה בודדת (אלא אם היא חמורה במיוחד)</t>
  </si>
  <si>
    <t>:
- שיח אלים או תוקפני
- ביטויי שנאה (גזענות, שנאת נשים, הכללות פוגעניות וכו')
תפיסות בעייתיות לגבי זוגיות (שליטה, חוסר כבוד, החפצה)
- אגרסיביות או נוקשות חריגה בשיח</t>
  </si>
  <si>
    <t>ערכים ≠ שמרנות</t>
  </si>
  <si>
    <t xml:space="preserve">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t>
  </si>
  <si>
    <t xml:space="preserve">
- אין להוסיף פריטים שלא מופיעים ברשימה
- אין לנחש או להסיק ללא בסיס ברור</t>
  </si>
  <si>
    <t xml:space="preserve">הערכת אינטליגנציה מחשבתית (לא רגשית).
עד כמה המשתמש חזק בהסקה לוגית, בעל כושר ניסוח ובכללי - אינטליגנט.
אין למצע ציונים ואין לתת ציון מעל הממוצע כברירת מחדל
יש להגדיר ולהעריך  weight_for_match  אם המשתמש מביע חשיבות לאינטליגנציה אצל בן/בת זוג. </t>
  </si>
  <si>
    <t>הערכת אינטליגנציה רגשית.
עד כמה המשתמש מבין רגשות של אחרים ומנהל אינטראקציות רגשיות בצורה בוגרת</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</si>
  <si>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</si>
  <si>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הערכת יציבות רגשית.
עד כמה עולמו הרגשי של המשתמש יציב ומאוזן, לעומת נטייה למצבי רוח קיצוניים, רגשות שליליים חזקים, חרדה, דכדוך, דרמה רגשית או סערות נפשיות.
- חשוב במיוחד לזהות נטייה לקצוות רגשיים, כובד רגשי, חרדתיות, ודפוסים של דרמה או תנודתיות</t>
  </si>
  <si>
    <t>הערכת נהנתנות (אהבה לבילויים וחוויות).
עד כמה המשתמש נהנה, מחפש ומעריך חוויות מהנות בחיים — כמו בילויים, מסעדות, טיולים, יציאות, וחוויות חדשות — ועד כמה זה חלק מרכזי מהערכים ואורח החיים שלו.</t>
  </si>
  <si>
    <t xml:space="preserve">
- עד כמה חשוב לו "ליהנות מהחיים"
- רצון לחוויות (טיולים, אוכל, בילויים, יציאות)
- עד כמה הוא מחפש אקטיבית חוויות ולא רק זורם אם יש
- תיאורים של אורח חיים עשיר בחוויות לעומת שגרה שקטה וביתית</t>
  </si>
  <si>
    <t>הערכת משפחתיות כלפי משפחת המוצא.
עד כמה משפחת המוצא של המשתמש (ובעיקר ההורים) תופסת מקום מרכזי, נוכח ומשפיע בחייו.</t>
  </si>
  <si>
    <t xml:space="preserve">
- סקרנות ורצון לנסות דברים חדשים
- פתיחות לרעיונות, תפיסות וסגנונות חיים שונים
- משיכה לחוויות חדשות או לא שגרתיות</t>
  </si>
  <si>
    <t xml:space="preserve">הערכת נטייה אנליטית.
מודד עד כמה המשתמש נוטה לחשיבה אנליטית — כלומר פירוק, ניתוח והבנה לוגית של דברים — לעומת חשיבה אינטואיטיבית או זורמת.
</t>
  </si>
  <si>
    <t xml:space="preserve">
- לא למדוד כאן שמאל/ימין או עמדות ספציפיות
</t>
  </si>
  <si>
    <t>הערכת גישה חיובית (אופטימיות)
עד כמה המשתמש נוטה לגישה חיובית, אופטימית וקלילה לחיים, לעומת גישה שלילית, ביקורתית או פסימית.</t>
  </si>
  <si>
    <t xml:space="preserve">הערכת מעורבות פוליטית
עד כמה פוליטיקה מהווה חלק מרכזי ומשמעותי בחיי המשתמש — ברמת העניין, המעורבות והחשיבות שהוא נותן לנושא
אם אין לנו מושג לגבי מידת הפוליטיות ולא הצלחנו לנחש לפי הוייב והתכונות האחרות - נניח ציון נמוך יחסית במידת סבירות נמוכה </t>
  </si>
  <si>
    <t xml:space="preserve">הערכת מעורבות חברתית (אקטיביזם)
עד כמה המשתמש מעורב, אקטיבי ופועל בנושאים חברתיים — כמו התנדבות, פעילות חברתית, מחאה או עיסוק בתיקון חברתי — ועד כמה זה חלק מהזהות וסגנון החיים שלו.
אם אין לנו מושג לגבי מידת המעורבות החברתית ולא הצלחנו לנחש לפי הוייב והתכונות האחרות - נניח ציון נמוך יחסית במידת סבירות נמוכה </t>
  </si>
  <si>
    <t>הערכת לבביות וחום אנושי
עד כמה המשתמש חם, נעים, מפרגן ומקרין יחס חיובי ואוהב כלפי אחרים.</t>
  </si>
  <si>
    <t>הערכת טיפוס מסיבתי (סגנון חיי לילה).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אם אין אינדיקציה מיוחדת על טיפוס מסיבתי ולא ניתן לנחש מהוייב והתכונות האחרות - נניח ציון נמוך עם סבירות נמוכה</t>
  </si>
  <si>
    <t>הערכת אהבה לבעלי חיים
עד כמה המשתמש אוהב, מחובר ונוח עם בעלי חיים — ועד כמה נוכחות של בעלי חיים מתאימה לו בחיים.
- יש להבין את ההקשר (חיובי / שלילי / ניטרלי)
- אזכור שלילי (פחד, דיל ברייקר) → ציון נמוך
- אזכור חיובי עם מעורבות (למשל יש כלב) → ציון גבוה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בהיעדר מידע מוחלט נניח ציון ממוצע - 50.</t>
  </si>
  <si>
    <t>הערכת צמחונות / טבעונות
הרגלי התזונה של המשתמש ביחס לצריכת בעלי חיים — החל מאכילת בשר רגילה ועד צמחונות או טבעונות.
ציון גבוה = יותר צמחוני/טבעוני  
ציון נמוך = אוכל בשר באופן רגיל
חוקים:
- אם המשתמש מציין חיבה מיוחדת לבשר - ציון נמוך מאוד
- אם המשתמש מציין שהוא צמחוני או טבעוני - ציון גבוה מאוד.
בהיעדר מידע מוחלט- נעדיף לנחש לכיוון האמצע</t>
  </si>
  <si>
    <t>הערכת ציונות ואהבת המדינה
עד כמה המשתמש מחובר רגשית וערכית למדינה — כולל תחושת שייכות, אהבת הארץ ורצון לפעול למען המדינה
בהיעדר מידע מוחלט - נעדיף לנחש לכיוון האמצע</t>
  </si>
  <si>
    <t>הערכת רגישות למראה חיצוני.
עד כמה המראה החיצוני של בן/בת זוג הוא גורם חשוב ומשמעותי עבור המשתמש.
- יש להבחין בין העדפה ("נחמד אם") לבין דרישה ("חייב/ת")
- יש להתחשב בטון — נוקשות מול גמישות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בהיעדר מידע מוחלט - ננחש ציון בינוני</t>
  </si>
  <si>
    <t>הערכת היפסטריות (סגנון אינדי/אלטרנטיבי
עד כמה המשתמש משדר סגנון וטעם תרבותי אלטרנטיבי, אינדי או "היפסטרי" — כלומר העדפה לדברים לא מיינסטרימיים, נישתיים או ייחודיים
בהיעדר מידע מוחלט - נקבע לפי הוייב הכללי של המשתמש בסבירות נמוכה יחסית</t>
  </si>
  <si>
    <t>הערכת גיקיות (חיבור לתרבות גיקית)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בהיעדר מידע מוחלט - נקבע לפי הוייב הכללי של המשתמש בסבירות נמוכה</t>
  </si>
  <si>
    <t xml:space="preserve">הערכת היפיות (סגנון רוחני־אלטרנטיבי)
עד כמה המשתמש מתחבר לסגנון חיים "היפי" — הכולל עניין ברוחניות, סדנאות, התפתחות אישית, טבע וטבעיות.
ציון גבוה = יותר היפי  
ציון נמוך = לא היפי
בהיעדר מידע מוחלט - ננסה לנחש לפי הוייב הכללי של המשתמש ואם אין לנו מושג - נניח רמה נמוכה
</t>
  </si>
  <si>
    <t>הערכת סגנון תרבותי־רוסי (יוצאי ברה״מ)..
ציון גבוה = סגנון רוסי מובהק  
ציון נמוך = לא מזוהה עם הסגנון
חוקים:
- אם המשתמש מציין מוצא רוסי/אוקראיני → העלה ציון משמעותית
- אם יש גם הזדהות תרבותית → העלה ציון עוד יותר
בהיעדר מידע מוחלט - ננסה לנחש לפי הוייב הכללי של המשתמש ואם אין לנו מושג - נניח רמה נמוכה</t>
  </si>
  <si>
    <t xml:space="preserve">זיהוי רעילות (התנהגות מסוכנת).
המטרה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חוקים:
- אם יש ביטוי קיצוני (אלימות, גזענות ברורה וכו') → העלה ציון משמעותית
- אם אין אינדיקציות ברורות → שמור על ציון נמוך.
בהיעדר מידע מוחלט - נניח רעילות נמוכה בסבירות נמוכה. אם לאחר שיחה שלמה לא זיהינו רעילות - אפשר להניח גם רעילות נמוכה בסבירות בינונית.
</t>
  </si>
  <si>
    <t xml:space="preserve">זיהוי טרוליות.
לזהות האם המשתמש באמת מחפש שידוך ומשתף פעולה עם המערכת, או שמא הוא עונה בצורה לא כנה, ממציא, משחק עם המערכת או מטריל אותה
- אם אין אינדיקציות ברורות → שמור על ציון נמוך
</t>
  </si>
  <si>
    <t xml:space="preserve">הערכת שמרנות ערכית-חברתית.
עד כמה המשתמש מחזיק בגישה שמרנית ומיושנת לעומת ליברלית/פתוחה בנושאים של זוגיות, מגדר ונורמות חברתיות
ציון גבוה = שמרני - פרימיטיבי  
ציון נמוך = ליברלי / מתירני
חובה לנסות לתת ציון פה גם אם אין אינדיקציה ברורה - תנחש לפי הוייב וסגנון הדיבור של המשתמש! לא לתת סתם ציון ממוצע. </t>
  </si>
  <si>
    <t xml:space="preserve">הערכת אינטלקטואליות.
עד כמה המשתמש נוטה לשיח רעיוני, עומק מחשבתי והתעניינות בנושאים מופשטים, לעומת שיח פרקטי, יומיומי ופשוט. עד כמה הוא עוסק בנושאים אינטלקטואלים - ספרים וכדומה
חובה לנסות לתת ציון פה גם אם אין אינדיקציה ברורה - תנחש לפי הוייב וסגנון הדיבור של המשתמש! לא לתת סתם ציון ממוצע. </t>
  </si>
  <si>
    <t xml:space="preserve">הערכת וייב ילדותי לעומת בוגר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חוקים:
- אם יש תחושה כללית של playful, חמידות או אלמנטים ילדותיים → העלה ציון
- אם הסגנון מרגיש בוגר, מאופק או "grown-up" → הורד ציון
חובה לנסות לתת ציון פה גם אם אין אינדיקציה ברורה - תנחש לפי הוייב וסגנון הדיבור של המשתמש! לא לתת סתם ציון ממוצע. 
</t>
  </si>
  <si>
    <t xml:space="preserve">הערכת נטייה לציות למסגרות (״ילד טוב״)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אם המשתמש נותן וייב של מישהו שבטח המורות ממש אהבו בבית הספר - העלה את הציון, אחרת - תוריד.
בהיעדר מידע מוחלט - ננחש לפי הוייב והסגנון של המשתמש
חובה לנסות לתת ציון פה גם אם אין אינדיקציה ברורה - תנחש לפי הוייב וסגנון הדיבור של המשתמש! לא לתת סתם ציון ממוצע. </t>
  </si>
  <si>
    <t>זיהוי זהות מגדרית לא סטנדרטית
לזהות האם המשתמש הצהיר באופן מפורש על היותו טרנס/ית או א-מיני.
חוקים:
- רק הצהרה מפורשת → ציון גבוה
- אם אין מידע מתוך הרבה טקסט (נגיד בסיום השאלון) - אפשר לתת ציון נמוך בסבירות די גבוהה - נגיד 0.5</t>
  </si>
  <si>
    <t>זהויות מגדריות שונות</t>
  </si>
  <si>
    <t xml:space="preserve">
- אין להסיק זהות מגדרית או מינית ללא הצהרה מפורשת
- אין לנחש על בסיס סגנון, שפה או התנהגות
- מדובר רק במה שהמשתמש בחר לשתף באופן ברור
- אין להסיק זהות על בסיס משיכה לגבר/אישה! אין קשר למשיכה, רק טרנס/ית או א-מיני. </t>
  </si>
  <si>
    <t>קונפורמיות</t>
  </si>
  <si>
    <t>Conformity</t>
  </si>
  <si>
    <t>נטייה למיינסטרים</t>
  </si>
  <si>
    <t xml:space="preserve">הערכת מידת מיינסטרים
הגדרה:
סחיות = שילוב של מיינסטרים + קונפורמיות + גישה נורמטיבית לחיים
עד כמה המשתמש נוטה למיינסטרים, לנורמות מקובלות ולגישה "רגילה" לחיים, לעומת ייחודיות, פתיחות וסטייה מהנורמה.
חוקים:
- יש להעריך לפי הקשר תרבותי ישראלי
- אם המשתמש מבטא משיכה לשונה, חריג או לא שגרתי → הורד ציון
חובה לנסות לתת ציון פה גם אם אין ראיות - תנחש לפי הוייב וסגנון הדיבור של המשתמש! </t>
  </si>
  <si>
    <t xml:space="preserve">הערכת קונפורמיות
עד כמה המשתמש נוטה לנורמות מקובלות ולגישה "רגילה" לחיים לעומת פתיחות וסטייה מהנורמה. 
ככל שהמשתמש יותר קונפורמיסט - העלה ציון
- אם המשתמש מציג חשיבה עצמאית או חריגה → הורד ציון
חובה לנסות לתת ציון פה גם אם אין ראיות - תנחש לפי הוייב וסגנון הדיבור של המשתמש!
</t>
  </si>
  <si>
    <t xml:space="preserve">
- עד כמה תחומי העניין שלו מיינסטרים או שגרתיים
</t>
  </si>
  <si>
    <t xml:space="preserve">
- עד כמה הדעות שלו נפוצות ונורמטיביות
- עד כמה הוא "זורם עם מה שמקובל" לעומת חשיבה עצמאית
- עד כמה הוא פתוח לסגנונות חיים לא שגרתיים (זוגיות, קריירה, אורח חיים)</t>
  </si>
  <si>
    <t>Oriental</t>
  </si>
  <si>
    <t>מזרחיות</t>
  </si>
  <si>
    <t xml:space="preserve">הערכת סגנון מזרחי (עממיות תרבותית־סגנונית)
.
ציון גבוה = סגנון מזרחי מובהק  
ציון נמוך = סגנון פחות מזרחי / יותר סלקטיבי או נישתי
עד כמה המשתמש משדר סגנון תרבותי־מזרחי בווייב, בטעם ובסגנון האישי — לעומת סגנון יותר אשכנזי
חובה לנסות לתת ציון פה גם אם אין אינדיקציה ברורה - תנחש לפי הוייב וסגנון הדיבור של המשתמש! לא לתת סתם ציון ממוצע. </t>
  </si>
  <si>
    <t xml:space="preserve">עד כמה המשתמש בסגנון עממי
.
ציון גבוה = עממי מאוד
ציון נמוך = סגנון יותר סלקטיבי או נישתי
עד כמה המשתמש משדר סגנון תרבותי־עממי בוייב, בטעם ובסגנון האישי — לעומת סגנון פחות עממי ויותר נישתי או מובחן
חוקים:
- אם המשתמש משדר סגנון עממי, פתוח, מחובר לתרבות פופולרית → העלה ציון
- אם המשתמש משדר סגנון נישתי, סלקטיבי או מובחן → הורד ציון
חובה לנסות לתת ציון פה גם אם אין אינדיקציה ברורה - תנחש לפי הוייב וסגנון הדיבור של המשתמש! לא לתת סתם ציון ממוצע. </t>
  </si>
  <si>
    <t xml:space="preserve">:
- סגנון שפה (ישיר, עממי, יומיומי לעומת מובחן יותר)
- וייב כללי של חום, פתיחות ונגישות
- חיבור לתרבות פופולרית רחבה
- תחושת "מסתדר עם כולם" לעומת סלקטיביות חברתית
</t>
  </si>
  <si>
    <t xml:space="preserve">
- טעם מוזיקלי 
- סגנון שפה 
- סגנון אישי ותרבותי שמזוהה עם וייב מזרחי
- זהות מוצהרת</t>
  </si>
  <si>
    <t xml:space="preserve">מוצא  ≠ סגנון.
המטרה לא לזהות האם המשתמש מזרחי או אשכנזי. אם זיהית שהוא מזרחי לפי צבע עור או הצהרה ברורה - זה יכול מעט מאוד להעלות ציון אבל הציון מדבר על הסגנון, לא על קביעת העדה. </t>
  </si>
  <si>
    <t>broad_appeal</t>
  </si>
  <si>
    <t>קרבה למשפחת המוצא</t>
  </si>
  <si>
    <t>family_of_origin_closeness</t>
  </si>
  <si>
    <t>serious_relationship_intent</t>
  </si>
  <si>
    <t>מחפש קשר רציני</t>
  </si>
  <si>
    <t>עד כמה המשתמש מחפש קשר רציני.
אם מחפש סטוצים בלבד -&gt; הורד ציון.</t>
  </si>
  <si>
    <t>emotional_expressiveness</t>
  </si>
  <si>
    <t>עד כמה המשתמש עסוק ברגשות ונוטה לשיח רגשי.</t>
  </si>
  <si>
    <t xml:space="preserve">הערכת רמת דתיות
עד כמה המשתמש דתי או חילוני, כלומר עד כמה הדת והמסורת מהוות חלק מרכזי באורח החיים, באמונות ובהתנהלות היומיומית שלו.
 יש להעריך את הרצף בין חילוני, מסורתי ודתי
ככל שמידת הדתיות גבוהה יותר - נגדיר ציון גבוה יותר
אם המשתמש לא מדבר כלל על הדת אין להניח שהוא בהכרח חילוני, ניתן לתת ציון נמוך בסביבות ה40. </t>
  </si>
  <si>
    <t>דרמטיות/תיאטרליות</t>
  </si>
  <si>
    <t>ימין פוליטי</t>
  </si>
  <si>
    <t>שמאל פוליטי</t>
  </si>
  <si>
    <t xml:space="preserve">
- הבעת תמיכה בממשלה
- רמזים עקיפים אך ברורים לעמדות פוליטיות</t>
  </si>
  <si>
    <t>הערכת נטייה פוליטית שמאלנית
עד כמה המשתמש נוטה לדעות פוליטיות שמאלניות.</t>
  </si>
  <si>
    <t xml:space="preserve">הערכת נטייה פוליטית ימנית
עד כמה המשתמש נוטה לדעות פוליטיות ימניות (ביבי, בן גביר וכו'). . </t>
  </si>
  <si>
    <t xml:space="preserve">
- ביקורת על הממשלה
- הפגנות וחברות בארגונים המזוהים עם השמאל</t>
  </si>
  <si>
    <t xml:space="preserve">
- תשובות מופרכות
- תשובות לא קשורות ומתחכמות</t>
  </si>
  <si>
    <t>נושא השאלה</t>
  </si>
  <si>
    <t>ה"אנטי" מאץ'</t>
  </si>
  <si>
    <t>"בואי ננסה תרגיל של התבוננות הפוכה: תתארי לי את הדמות שתרגישי איתה הכי פחות בנוח. מה בווייב שלו או באמונות שלו פשוט לא עובר אצלך?"</t>
  </si>
  <si>
    <t>"בואי נהיה רגע חדות – מי הבחור שהכי לא מתאים לך? מה הדעות והאמונות שלו שפוסלות אותו על הסף?"</t>
  </si>
  <si>
    <t>"לפעמים הדיוק מגיע דווקא מהמקום שלא מהדהד איתנו. תתארי לי אדם שהאנרגיה והאמונות שלו מרגישים לך הכי רחוקים מהשורש שלך. מי הוא היה?"</t>
  </si>
  <si>
    <t>קשר אחרון</t>
  </si>
  <si>
    <t>"ספרי לי קצת על הקשר האחרון שלך. מה הרגשת שעבד שם מבחינת החיבור, ואיפה הרגשת שזה כבר לא היה נכון עבורך?"</t>
  </si>
  <si>
    <t>"בואי נלמד מהעבר – מה קרה במערכת היחסים האחרונה שלך? מה עבד בשטח ומה הייתה הנקודה שבה זה הפסיק לעבוד?"</t>
  </si>
  <si>
    <t>"איזה שיעור הביא איתו הקשר האחרון שהיה לך? מה שם הרגיש זורם ובאיזה שלב הרגשת שהחיבור כבר לא מזין אתכם?"</t>
  </si>
  <si>
    <t>מראה עצמי</t>
  </si>
  <si>
    <t>"איך את תופסת את המראה שלך?"</t>
  </si>
  <si>
    <t>"בואי נדבר על המראה שלך, איך היית מתארת אותו?"</t>
  </si>
  <si>
    <t>"איך את מתארת את המעטפת החיצונית שלך, המראה שלך?"</t>
  </si>
  <si>
    <t>מראה - העדפה</t>
  </si>
  <si>
    <t>"וחשוב לי להבין – אילו איכויות חיצוניות בבן זוג גורמות לך להרגיש משיכה או קרבה?"</t>
  </si>
  <si>
    <t>"מה הסטנדרטים שלך לגבי המראה של הצד השני? מה חייב להיות שם?"</t>
  </si>
  <si>
    <t>"ואילו מאפיינים פיזיים בבן זוג מרגישים לך נכונים ומזמינים?"</t>
  </si>
  <si>
    <t>זהות/דיל ברייקר</t>
  </si>
  <si>
    <t>"האם יש משהו מהותי בזהות שלך, או פרט חשוב עלייך, שאת מרגישה שחשוב שאדע לפני שאני מחבר אותך למישהו?"</t>
  </si>
  <si>
    <t>"יש משהו מהותי בזהות שלך או פרט קריטי שחובה לדעת עלייך לפני שאנחנו יוצאים לדרך עם התאמות?"</t>
  </si>
  <si>
    <t>"האם יש משהו בזהות העמוקה שלך, או פרט מהותי עלייך, שחשוב שיקבל ביטוי לפני שאני מחבר בין הנשמה שלך לאחרת?"</t>
  </si>
  <si>
    <t>מיליון דולר</t>
  </si>
  <si>
    <t>"דמייני שמחר את זוכה במיליון דולר. מה הדבר הראשון שתעשי עם הכוח הזה?"</t>
  </si>
  <si>
    <t>"בונוס רציני: זכית במיליון דולר. מה את עושה עם הכסף הזה מחר בבוקר?"</t>
  </si>
  <si>
    <t>"זרימה של שפע הגיעה אליך – מיליון דולר. איך היית משתמשת בהם כדי להיטיב עם חייך?"</t>
  </si>
  <si>
    <t>קוגניציה (קנאה)</t>
  </si>
  <si>
    <t>"שאלה קצת אחרת: דמייני אדם שמעולם לא חווה את הרגש שקוראים לו 'קנאה'. איך היית מסבירה לו את המנגנון הזה, בלי להשתמש במילה עצמה?"</t>
  </si>
  <si>
    <t>"אתגר קטן: תסבירי לי איך המנגנון של 'קנאה' עובד, אבל בלי להשתמש במילה 'קנאה'. איך היית מתארת את התהליך הזה למישהו שלא מכיר אותו?"</t>
  </si>
  <si>
    <t>"בואי ננסה להעמיק במשהו אנושי: איך היית מתארת את התנועה הפנימית שקורה לנו כשאנחנו 'מקנאים', למישהו שמעולם לא הרגיש את זה? (בלי להשתמש במילה המפורשת)."</t>
  </si>
  <si>
    <t>הפסיכולוג</t>
  </si>
  <si>
    <t>הקואצ'רית</t>
  </si>
  <si>
    <t>המנטור הרוחני</t>
  </si>
  <si>
    <t>זהות כללית</t>
  </si>
  <si>
    <t>אמפתי, רפלקטיבי, מתמקד בדפוסים רגשיים ובתהליכי עומק. משתמש במילים כמו: "התבוננות", "מסע", "דפוסים", "חיבור". תגובות הביניים שלו: "אני שומע אותך", "זה נשמע משמעותי</t>
  </si>
  <si>
    <t>ישירה, אנרגטית, ממוקדת תוצאות ומטרות. משתמשת במילים כמו: "חדות", "סטנדרטים", "הצלחה", "דוגרי". תגובות הביניים שלה: "מעולה, בואי נתקדם", "חשוב להיות חדים על זה</t>
  </si>
  <si>
    <t>שליו, מטאפורי, מתמקד בערכים, אינטואיציה וחיבור נשמתי. משתמש במילים כמו: "הדהוד", "שיעור", "שורש", "תדר". תגובות הביניים שלו: "אני מתחבר למה שאמרת", "תודה על השיתוף העמוק</t>
  </si>
  <si>
    <t>שורת פתיחה</t>
  </si>
  <si>
    <t>"שלום חן 🙏
הדרך למציאת חיבור אמיתי עוברת דרך הקשבה פנימית ודיוק. ככל שתאפשרי לעצמך לענות מהמקום הכי עמוק, פתוח ואמיתי שלך – כך נוכל למצוא אדם שהתדר והערכים שלו מהדהדים עם שלך.
תרגישי חופשיה לזרום עם התחושות שלך. אם תרגישי צורך בהפסקה, אפשר לעצור לרגע ולהמשיך כשהלב יהיה פנוי לכך שוב.
חשוב שתדעי שהמילים שלך קדושות עבורי; הן נשארות בינינו בלבד ולא יפורסמו. הן נועדו אך ורק כדי לעזור לי לראות את הנשמה שלך ולחבר אותה לאדם הנכון. אני כאן כדי להקשיב לך ולמהות שאת מביאה
מוכנה להתחיל?"</t>
  </si>
  <si>
    <t>"היי חן, אני המאמנת שלך למציאת זוגיות! מוכנה לצאת לדרך? 🚀
המטרה שלנו היא למצוא לך התאמה מדויקת וחזקה, ובשביל זה אני צריכה את המידע הכי חד שיש. ככל שתהיי יותר דוגרי, מפורטת וכנה בתשובות שלך – כך נוכל להגיע לתוצאה טובה יותר ולמצוא מישהו שבאמת מתאים לסטנדרטים שלך.
זכרי, אם השיחה מתארכת, אפשר לעצור הכל ולהמשיך בזמן אחר. אנחנו כאן כדי לעבוד בשבילך.
מבחינת פרטיות – הכל נשאר 'בחדר האימונים' שלנו. התשובות שלך לא עוברות לפרופיל הציבורי, הן רק הכלי שלי לנתח את הנתונים ולעשות לך את המאץ' המושלם.
יוצאות לדרך?"</t>
  </si>
  <si>
    <t>"היי חן, אני שמח ללוות אותך בתהליך הזה. 😊
כדי שאוכל להבין באמת מי את ומה הלב שלך מחפש, אנחנו צריכים רגע לצלול פנימה ולהכיר לעומק. ככל שתשתפי ביותר פתיחות וכנות, כך נוכל לבנות תמונה מלאה ודיוק רגשי שיוביל אותנו לאדם הנכון עבורך.
אם תרגישי שזה עמוס מדי, תמיד תוכלי לקחת נשימה, לעצור ולהמשיך כשיהיה לך נוח.
חשוב שתדעי – השיחה הזו היא מרחב בטוח ופרטי לגמרי. התשובות שלך לא יפורסמו בשום מקום; הן נועדו רק כדי שאוכל להבין את הדפוסים והצרכים שלך ולמצוא לך חיבור אמיתי.
מרגישה בנוח להתחיל?"</t>
  </si>
  <si>
    <t>ניתוח לפי אקסל תכונות</t>
  </si>
  <si>
    <t xml:space="preserve">סוכן משוחח </t>
  </si>
  <si>
    <t>שיחה ראשונית שוטפת</t>
  </si>
  <si>
    <t>כרטיס התאמה</t>
  </si>
  <si>
    <t>בחירת מלווה</t>
  </si>
  <si>
    <t>אחרי MVP:</t>
  </si>
  <si>
    <t>מעבר לג'מיני או מודל אחר</t>
  </si>
  <si>
    <t>מודל משוחח</t>
  </si>
  <si>
    <t>שואל את אותה שאלה לפעמים בחזרה לשיחה</t>
  </si>
  <si>
    <t>לסדר אלגוריתם חישוב חיצוני ובהתאם מודל מנתח</t>
  </si>
  <si>
    <t>לעדכן אפיון של המודלים</t>
  </si>
  <si>
    <t>אפיון</t>
  </si>
  <si>
    <t>מנתח</t>
  </si>
  <si>
    <t>אלגוריתם ומשוחח</t>
  </si>
  <si>
    <t>לסדר ציון לשידוך ולוודא שהמשוחח עובד איתו</t>
  </si>
  <si>
    <t>לעשות שאלת טיפוסים</t>
  </si>
  <si>
    <t>משוחח</t>
  </si>
  <si>
    <t>להוסיף דיל ברייקרס נוספים - חרדי, ערבי, דרוזי. מה עוד?</t>
  </si>
  <si>
    <t>להוסיף תכונות חדשות, תכונות מודלים ולסדר משקלים וודאויות</t>
  </si>
  <si>
    <t>קלסטרים של טיפוסים</t>
  </si>
  <si>
    <t xml:space="preserve">חלוקה לפרופילים כפי שהגדרתי </t>
  </si>
  <si>
    <t>תכונות מורכבות - סחיות, עממיות.. מה עוד?</t>
  </si>
  <si>
    <t>לסיים בכללי</t>
  </si>
  <si>
    <t>להגיע לפרסום של שלב א'.</t>
  </si>
  <si>
    <t>לתת שורת סיכום טובה</t>
  </si>
  <si>
    <t>יכולת ניסוח</t>
  </si>
  <si>
    <t>קלילות</t>
  </si>
  <si>
    <t>ציניות</t>
  </si>
  <si>
    <t>חמידות /  טוב -לב</t>
  </si>
  <si>
    <t>מצפוניות</t>
  </si>
  <si>
    <t xml:space="preserve">נעימות </t>
  </si>
  <si>
    <t>שאר הביג פייב</t>
  </si>
  <si>
    <t>כל מה שקשור בערכים של שוורץ</t>
  </si>
  <si>
    <t>כל מה שקשור בmbti</t>
  </si>
  <si>
    <t>עוד תכונות שיסגרו את החלק הקוגנטיבי</t>
  </si>
  <si>
    <t>פסיכולוג</t>
  </si>
  <si>
    <t>לוודא שעושה סיום טוב. לוודא שעובד אחרי החלוקה לסטייג'ס. להוסיף גם סטייג'ים של שיחות שניה-שלישית. לוודא שהניתוח רץ אחרי שיחה</t>
  </si>
  <si>
    <t>מראיין</t>
  </si>
  <si>
    <t>לעדכן בהתאם - להוריד שאלות אישיות, להוריד פניות למנתח, להגביר שאלות סיטואציוניות וכיפיות</t>
  </si>
  <si>
    <t xml:space="preserve">לעשות גם את החלק של בדיקת הטעם - כרגע לא חובה לחבר למנתח </t>
  </si>
  <si>
    <t>בדיקת טעם</t>
  </si>
  <si>
    <t xml:space="preserve">להעביר למובייל וללטש חווית משתמש: ניסוחים, הסברים, עיצוב, הצגת פרטים למעלה וכו'. </t>
  </si>
  <si>
    <t>סידור ציונים ובר התקדמות</t>
  </si>
  <si>
    <t>UI</t>
  </si>
  <si>
    <t>להפריד שאלות לדוגמה לסטייג'ס</t>
  </si>
  <si>
    <t>responsibilty</t>
  </si>
  <si>
    <t>כולל התאמה לאייפון אנדרואיד וכו'</t>
  </si>
  <si>
    <t>יש הצפנות דרך railway, אבל צריך להפריד טבלאות כך שגם אם ייפרץ - יתן כמה שפחות מידע: להימנע משמירת מידע מיותר ולהפריד מידע מפרטים אישיים של המשתמש. לחשוב מה עוד</t>
  </si>
  <si>
    <t>לוודא שאכן הוא יכול לדבר רק דרך פלט בטוח ואין לו גישה לנתונים רגישים שנותחו.  לעשות דשבורד למשתמשים שיוכלו לראות איזה פרטים עליהם הם בטוחים כדי להציג בכרטיס התאמה אולי.</t>
  </si>
  <si>
    <t>קיים בrailway, מורכב של postgreSQL</t>
  </si>
  <si>
    <t>Emotional Intensity</t>
  </si>
  <si>
    <t>Communication Softness</t>
  </si>
  <si>
    <t>Tonal Balance</t>
  </si>
  <si>
    <t>שילוב</t>
  </si>
  <si>
    <t>Tonal Stability</t>
  </si>
  <si>
    <t>Depth Authenticity</t>
  </si>
  <si>
    <t>Cliché Density</t>
  </si>
  <si>
    <t>Authenticity</t>
  </si>
  <si>
    <t>Communication Style</t>
  </si>
  <si>
    <t>לא ברור מה הרמות פה</t>
  </si>
  <si>
    <t>Refinement Level</t>
  </si>
  <si>
    <t>Cognitive Signal in Humor</t>
  </si>
  <si>
    <t>Humor Depth</t>
  </si>
  <si>
    <t>Signal Coherence</t>
  </si>
  <si>
    <t>Verbal Precision</t>
  </si>
  <si>
    <t>Depth of Expression</t>
  </si>
  <si>
    <t>Emotional Authenticity</t>
  </si>
  <si>
    <t>Multi-Dimensionality</t>
  </si>
  <si>
    <t>Intent Expression Style</t>
  </si>
  <si>
    <t>Communication Clarity</t>
  </si>
  <si>
    <t>Communication Structure</t>
  </si>
  <si>
    <t>Communication Refinement</t>
  </si>
  <si>
    <t>Cultural / Style Signal</t>
  </si>
  <si>
    <t>גם כאן לא ברור מה הרמות</t>
  </si>
  <si>
    <t>גיבויים אוטומטים</t>
  </si>
  <si>
    <t>הפרדה בין טסט לפרוד</t>
  </si>
  <si>
    <t>פרופיל קוגנטיבי, פרופיל רגשי</t>
  </si>
  <si>
    <t>פרופיל קוגנטיבי, סגנון</t>
  </si>
  <si>
    <t>ערכים, סגנון</t>
  </si>
  <si>
    <t>ביג פייב</t>
  </si>
  <si>
    <t>פרופיל רגשי/סגנון</t>
  </si>
  <si>
    <t xml:space="preserve">לפי מודל Big Five </t>
  </si>
  <si>
    <t xml:space="preserve">Extraversion </t>
  </si>
  <si>
    <t>מוחצנות</t>
  </si>
  <si>
    <t>הערכת מופנמות / מוחצנות כסגנון ביטוי לפי מודל הביג פייב
התכונה מודדת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חוקים:
- אם המשתמש נשמע שקט, מאופק או מינימליסטי בביטוי → הורד ציון
- אם המשתמש נשמע אקספרסיבי, פתוח, יוזם ודומיננטי → העלה ציון</t>
  </si>
  <si>
    <t>דיל ברייקרס ויתרונות אפשריים</t>
  </si>
  <si>
    <t>זיהוי דיל ברייקרס פוטנציאליים
.
 מאפיינים משמעותיים אצל המשתמש שעלולים להוות דיל ברייקר עבור חלק מהאנשים — לצורך התאמה טובה יותר והימנעות מחוסר התאמה.
יש להחזיר:
1. רשימה של דיל ברייקרס מתוך רשימה מוגדרת בלבד
2. תיאור טקסטואלי קצר (אם יש מה להוסיף)---
אין לתת ציון
רשימת דיל ברייקרס אפשריים:
- lives_with_parents (גר עם ההורים)
- divorced (גרוש/ה)
- has_children (יש ילדים)
- has_pets (יש לו בעל חיים)
- dislikes_pets (שונא/לא מסתדר עם בעלי חיים)
- childfree (אל-הורי/ת – לא מעוניין/ת בילדים)
- smoker (מעשנ/ת)
- polyamorous (פוליאמורי/ת)
- open_relationship (בזוגיות פתוחה)
-arab (ערבי)
-orthodox (חרדי)
- high_income (הכנסה גבוהה)
-low_income
חוקים:
-אם זוהה מאפיין אחד מהרשימה באופן ברור → יש להחזיר אותו (גם אם זה היחיד)
- אם אין אינדיקציה ברורה → להחזיר ריק</t>
  </si>
  <si>
    <t>דרמטיות</t>
  </si>
  <si>
    <t>תיאטרליות</t>
  </si>
  <si>
    <t>צ'יל</t>
  </si>
  <si>
    <t>קשיחות</t>
  </si>
  <si>
    <t>עצמה רגשית</t>
  </si>
  <si>
    <t>רכות/עדינות</t>
  </si>
  <si>
    <t>טון מאוזן</t>
  </si>
  <si>
    <t>אוטנתיות</t>
  </si>
  <si>
    <t>דיוק מילולי</t>
  </si>
  <si>
    <t>עומק ביטוי</t>
  </si>
  <si>
    <t>בהירות בתקשורת</t>
  </si>
  <si>
    <t>עידון בדיבור</t>
  </si>
  <si>
    <t>חמידות</t>
  </si>
  <si>
    <t>פרופיל רגשית</t>
  </si>
  <si>
    <t>פרופיל קוגגנטיבי</t>
  </si>
  <si>
    <t>Agreeableness</t>
  </si>
  <si>
    <t>Conscientiousness</t>
  </si>
  <si>
    <t>Neuroticism</t>
  </si>
  <si>
    <t>נוירוטיות</t>
  </si>
  <si>
    <t>OpennessToExperience</t>
  </si>
  <si>
    <t>פתיחות לחוויה</t>
  </si>
  <si>
    <t>שוורץ</t>
  </si>
  <si>
    <t>Hedonism</t>
  </si>
  <si>
    <t>נהנתנות</t>
  </si>
  <si>
    <t>Achievement</t>
  </si>
  <si>
    <t>הישגיות</t>
  </si>
  <si>
    <t>Power</t>
  </si>
  <si>
    <t>כוח</t>
  </si>
  <si>
    <t>מעמד ומוניטין חברתי, שליטה או שלטון על אנשים.</t>
  </si>
  <si>
    <t>הצלחה אישית באמצעות מומחיות לפי סטנדרטים חברתיים.</t>
  </si>
  <si>
    <t>הנאה או סיפוק החושים.</t>
  </si>
  <si>
    <t>Self-direction</t>
  </si>
  <si>
    <t>Stimulation</t>
  </si>
  <si>
    <t>כיוון עצמי</t>
  </si>
  <si>
    <t>גרייה</t>
  </si>
  <si>
    <t>התרגשות, חידוש ואתגר בחיים.</t>
  </si>
  <si>
    <t>מחשבה ופעולה עצמאית: בחירה, יצירה וחקירה.</t>
  </si>
  <si>
    <t>Security</t>
  </si>
  <si>
    <t>בטיחות, הרמוניה ויציבות בחברה, ביחסים ובעצמי.</t>
  </si>
  <si>
    <t>שליטה במעשים, בנטיות ובדחפים אשר עלולים לפגוע באחרים ולהפר ציפיות ונורמות חברתיות.</t>
  </si>
  <si>
    <t> כבוד, התחייבות וקבלת המנהגים והרעיונות של החברה.</t>
  </si>
  <si>
    <t>מסורת</t>
  </si>
  <si>
    <t>Tradition</t>
  </si>
  <si>
    <t>Benevolence</t>
  </si>
  <si>
    <t>נדיבות</t>
  </si>
  <si>
    <t>Universalism</t>
  </si>
  <si>
    <t>אוניברסליות</t>
  </si>
  <si>
    <t>שימור והעצמת בריאותם של האנשים הקרובים אליך.</t>
  </si>
  <si>
    <t>הבנה, הערכה, סבילה והגנה לבריאות כל האנשים והטבע.</t>
  </si>
  <si>
    <t>ביטחון</t>
  </si>
  <si>
    <t>Spirituality</t>
  </si>
  <si>
    <t>רוחניות</t>
  </si>
  <si>
    <t>Abstract Thinking</t>
  </si>
  <si>
    <t>Cognitive Flexibility</t>
  </si>
  <si>
    <t>בהירות מושגית</t>
  </si>
  <si>
    <t>גמישות מחשבתית</t>
  </si>
  <si>
    <t>חשיבה מופשטת</t>
  </si>
  <si>
    <t>חשיבה אנליטית</t>
  </si>
  <si>
    <t>Career Prestige</t>
  </si>
  <si>
    <t>Intellectualism</t>
  </si>
  <si>
    <t>Directness</t>
  </si>
  <si>
    <t>ישירות</t>
  </si>
  <si>
    <t>עדינות</t>
  </si>
  <si>
    <t>רכות</t>
  </si>
  <si>
    <t>Communication Tone</t>
  </si>
  <si>
    <t>Group</t>
  </si>
  <si>
    <t>Cognitive Profile</t>
  </si>
  <si>
    <t>Harsh talk</t>
  </si>
  <si>
    <t>Big Five</t>
  </si>
  <si>
    <t>Schwartz values</t>
  </si>
  <si>
    <t xml:space="preserve">ערכים </t>
  </si>
  <si>
    <t>Emotional Profile</t>
  </si>
  <si>
    <t>קבוצות נוספות</t>
  </si>
  <si>
    <t>social_activism</t>
  </si>
  <si>
    <t>אותנטיות</t>
  </si>
  <si>
    <t>Personal Style</t>
  </si>
  <si>
    <t>right wing</t>
  </si>
  <si>
    <t>left wing</t>
  </si>
  <si>
    <t>טיפוס מסיבתי</t>
  </si>
  <si>
    <t>עד כמה המראה החיצוני של בן/בת זוג הוא גורם חשוב ומשמעותי עבור המשתמש.</t>
  </si>
  <si>
    <t xml:space="preserve">
עד כמה המשתמש משדר סגנון וטעם תרבותי אלטרנטיבי, אינדי או "היפסטרי" — כלומר העדפה לדברים לא מיינסטרימיים, נישתיים או ייחודיים</t>
  </si>
  <si>
    <t xml:space="preserve">
עד כמה המשתמש מתחבר לעולמות תוכן המזוהים עם תרבות גיקית — כמו טכנולוגיה, גיימינג, מדע בדיוני, פנטזיה, קומיקס או תחומי עניין דומים.</t>
  </si>
  <si>
    <t>עד כמה המשתמש מתחבר לסגנון חיים "היפי" — הכולל עניין ברוחניות, סדנאות, התפתחות אישית, טבע וטבעיות.</t>
  </si>
  <si>
    <t xml:space="preserve">הערכת סגנון תרבותי־רוסי (יוצאי ברה״מ)
- אם המשתמש מציין מוצא רוסי/אוקראיני → העלה ציון משמעותית
- אם יש גם הזדהות תרבותית → העלה ציון עוד יותר
</t>
  </si>
  <si>
    <t>Dramatic Intensity</t>
  </si>
  <si>
    <t>Theatricality</t>
  </si>
  <si>
    <t>Energy Level</t>
  </si>
  <si>
    <t>מידת דתיות</t>
  </si>
  <si>
    <t>General Info</t>
  </si>
  <si>
    <t>vegetarian</t>
  </si>
  <si>
    <t>Toxicity</t>
  </si>
  <si>
    <t>Trollness</t>
  </si>
  <si>
    <t>זיהוי רעילות (התנהגות מסוכנת).
המטרה לזהות משתמשים שמבטאים רמות גבוהות של רעילות, תוקפנות או התנהגות שעלולה להיות בעייתית במערכת — לצורך ניטור ובקרה בלבד</t>
  </si>
  <si>
    <t>זיהוי טרוליות.
לזהות האם המשתמש באמת מחפש שידוך ומשתף פעולה עם המערכת, או שמא הוא עונה בצורה לא כנה, ממציא, משחק עם המערכת או מטריל אותה</t>
  </si>
  <si>
    <t>לזהות האם המשתמש הצהיר באופן מפורש על היותו טרנס/ית או א-מיני.
- רק הצהרה מפורשת → ציון גבוה</t>
  </si>
  <si>
    <t>Trans</t>
  </si>
  <si>
    <t>Speciallnfo</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</si>
  <si>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</si>
  <si>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 xml:space="preserve">Emotional Stability </t>
  </si>
  <si>
    <t>Emotional Stability should reflect internal regulation, not external behavior.
A user may appear calm, polite, or socially smooth,
but still show signs of inner reactivity, suppressed emotion, or emotional volatility.
Look for:
- internal tension
- emotional buildup
- reactive patterns
- indirect expression (e.g. sarcasm)</t>
  </si>
  <si>
    <t>Self-awareness is indicated by the ability to recognize and articulate one's own weaknesses, emotional patterns, and internal conflicts.
Users who openly describe their own flaws, reactivity, or emotional struggles should be scored higher in self-awareness.
Do NOT assume that a user who presents only positive, balanced, or socially desirable responses has high self-awareness.
Lack of negative self-reflection may indicate:
- low self-awareness
- impression management
- or limited introspection</t>
  </si>
  <si>
    <t>מידת חילוניות</t>
  </si>
  <si>
    <t>Analytical Reasoning</t>
  </si>
  <si>
    <t>Conceptual Precision</t>
  </si>
  <si>
    <t>Verbal Articulation</t>
  </si>
  <si>
    <t>אינטיליגנציה חברתית-אינטואיטיבית</t>
  </si>
  <si>
    <t>פרופיל אנליטי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</si>
</sst>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
      <b/>
      <sz val="11"/>
      <color theme="1"/>
      <name val="Calibri"/>
      <family val="2"/>
      <charset val="177"/>
      <scheme val="minor"/>
    </font>
    <font>
      <b/>
      <sz val="11"/>
      <color theme="1"/>
      <name val="Arial"/>
      <family val="2"/>
      <charset val="177"/>
    </font>
    <font>
      <b/>
      <sz val="11"/>
      <color theme="1"/>
      <name val="Aptos"/>
      <family val="2"/>
      <charset val="177"/>
    </font>
    <font>
      <sz val="11"/>
      <color theme="1"/>
      <name val="Arial"/>
      <family val="2"/>
      <charset val="177"/>
    </font>
    <font>
      <sz val="11"/>
      <color theme="1"/>
      <name val="Aptos"/>
      <family val="2"/>
      <charset val="177"/>
    </font>
    <font>
      <sz val="8"/>
      <color rgb="FF1F1F1F"/>
      <name val="Arial"/>
      <family val="2"/>
    </font>
    <font>
      <b/>
      <sz val="10"/>
      <color theme="1"/>
      <name val="Arial"/>
      <family val="2"/>
    </font>
    <font>
      <sz val="10"/>
      <color rgb="FF202122"/>
      <name val="Arial"/>
      <family val="2"/>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57">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3" fillId="0" borderId="0" xfId="0" applyFont="1" applyAlignment="1">
      <alignment vertical="center" readingOrder="2"/>
    </xf>
    <xf numFmtId="0" fontId="14" fillId="0" borderId="0" xfId="0" applyFont="1" applyAlignment="1">
      <alignment vertical="center" wrapText="1" readingOrder="2"/>
    </xf>
    <xf numFmtId="0" fontId="13" fillId="0" borderId="0" xfId="0" applyFont="1"/>
    <xf numFmtId="0" fontId="14" fillId="2" borderId="0" xfId="0" applyFont="1" applyFill="1" applyAlignment="1">
      <alignment vertical="center" wrapText="1" readingOrder="2"/>
    </xf>
    <xf numFmtId="0" fontId="15" fillId="0" borderId="0" xfId="0" applyFont="1" applyAlignment="1">
      <alignment vertical="center" wrapText="1" readingOrder="2"/>
    </xf>
    <xf numFmtId="0" fontId="1" fillId="0" borderId="0" xfId="0" applyFont="1" applyAlignment="1">
      <alignment horizontal="right" vertical="center" wrapText="1" readingOrder="2"/>
    </xf>
    <xf numFmtId="0" fontId="1" fillId="0" borderId="0" xfId="0" applyFont="1" applyAlignment="1">
      <alignment horizontal="right" vertical="top" wrapText="1" readingOrder="2"/>
    </xf>
    <xf numFmtId="0" fontId="4" fillId="0" borderId="0" xfId="0" applyFont="1" applyAlignment="1">
      <alignment horizontal="right" vertical="top" wrapText="1" readingOrder="2"/>
    </xf>
    <xf numFmtId="0" fontId="5" fillId="0" borderId="0" xfId="0" applyFont="1" applyAlignment="1">
      <alignment horizontal="right" vertical="top" wrapText="1" readingOrder="2"/>
    </xf>
    <xf numFmtId="0" fontId="4" fillId="0" borderId="0" xfId="0" applyFont="1" applyAlignment="1">
      <alignment horizontal="right" vertical="center" wrapText="1"/>
    </xf>
    <xf numFmtId="0" fontId="16" fillId="0" borderId="0" xfId="0" applyFont="1" applyAlignment="1">
      <alignment horizontal="right" vertical="top" wrapText="1" readingOrder="2"/>
    </xf>
    <xf numFmtId="0" fontId="17" fillId="0" borderId="0" xfId="0" applyFont="1" applyAlignment="1">
      <alignment horizontal="right" vertical="top" wrapText="1" readingOrder="2"/>
    </xf>
    <xf numFmtId="0" fontId="16" fillId="0" borderId="0" xfId="0" applyFont="1" applyAlignment="1">
      <alignment vertical="center" wrapText="1" readingOrder="2"/>
    </xf>
    <xf numFmtId="0" fontId="17" fillId="0" borderId="0" xfId="0" applyFont="1" applyAlignment="1">
      <alignment vertical="center" wrapText="1" readingOrder="2"/>
    </xf>
    <xf numFmtId="0" fontId="4" fillId="0" borderId="0" xfId="0" applyFont="1" applyAlignment="1">
      <alignment vertical="top" wrapText="1"/>
    </xf>
    <xf numFmtId="0" fontId="13" fillId="0" borderId="0" xfId="0" applyFont="1" applyAlignment="1">
      <alignment horizontal="right"/>
    </xf>
    <xf numFmtId="0" fontId="18" fillId="0" borderId="0" xfId="0" applyFont="1"/>
    <xf numFmtId="0" fontId="10" fillId="0" borderId="1" xfId="0" applyFont="1" applyBorder="1" applyAlignment="1">
      <alignment horizontal="right" wrapText="1"/>
    </xf>
    <xf numFmtId="0" fontId="19" fillId="0" borderId="1" xfId="0" applyFont="1" applyBorder="1" applyAlignment="1">
      <alignment horizontal="right" wrapText="1"/>
    </xf>
    <xf numFmtId="0" fontId="6" fillId="2" borderId="0" xfId="0" applyFont="1" applyFill="1"/>
    <xf numFmtId="0" fontId="20"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32"/>
  <sheetViews>
    <sheetView rightToLeft="1" topLeftCell="A11" workbookViewId="0">
      <selection activeCell="A28" sqref="A28"/>
    </sheetView>
  </sheetViews>
  <sheetFormatPr defaultRowHeight="14.4"/>
  <cols>
    <col min="1" max="1" width="19.33203125" customWidth="1"/>
    <col min="2" max="2" width="18.33203125" customWidth="1"/>
    <col min="3" max="3" width="15.88671875" customWidth="1"/>
    <col min="4" max="4" width="50.44140625" customWidth="1"/>
  </cols>
  <sheetData>
    <row r="1" spans="1:4">
      <c r="A1" s="35" t="s">
        <v>389</v>
      </c>
      <c r="B1" s="35" t="s">
        <v>390</v>
      </c>
      <c r="C1" s="35" t="s">
        <v>84</v>
      </c>
      <c r="D1" s="35" t="s">
        <v>391</v>
      </c>
    </row>
    <row r="2" spans="1:4">
      <c r="A2" t="s">
        <v>392</v>
      </c>
      <c r="B2" t="s">
        <v>393</v>
      </c>
      <c r="C2" t="s">
        <v>396</v>
      </c>
    </row>
    <row r="3" spans="1:4">
      <c r="A3" t="s">
        <v>392</v>
      </c>
      <c r="B3" t="s">
        <v>395</v>
      </c>
      <c r="C3" t="s">
        <v>402</v>
      </c>
      <c r="D3" t="s">
        <v>397</v>
      </c>
    </row>
    <row r="4" spans="1:4">
      <c r="A4" t="s">
        <v>392</v>
      </c>
      <c r="B4" t="s">
        <v>394</v>
      </c>
      <c r="C4" t="s">
        <v>405</v>
      </c>
      <c r="D4" t="s">
        <v>398</v>
      </c>
    </row>
    <row r="5" spans="1:4">
      <c r="A5" t="s">
        <v>468</v>
      </c>
      <c r="B5" t="s">
        <v>469</v>
      </c>
      <c r="C5" t="s">
        <v>402</v>
      </c>
      <c r="D5" t="s">
        <v>470</v>
      </c>
    </row>
    <row r="6" spans="1:4">
      <c r="A6" t="s">
        <v>399</v>
      </c>
      <c r="C6" t="s">
        <v>396</v>
      </c>
      <c r="D6" t="s">
        <v>663</v>
      </c>
    </row>
    <row r="7" spans="1:4">
      <c r="A7" t="s">
        <v>400</v>
      </c>
      <c r="B7" t="s">
        <v>401</v>
      </c>
      <c r="C7" t="s">
        <v>396</v>
      </c>
    </row>
    <row r="8" spans="1:4">
      <c r="A8" t="s">
        <v>400</v>
      </c>
      <c r="B8" t="s">
        <v>403</v>
      </c>
      <c r="C8" t="s">
        <v>396</v>
      </c>
    </row>
    <row r="9" spans="1:4">
      <c r="A9" t="s">
        <v>400</v>
      </c>
      <c r="B9" t="s">
        <v>404</v>
      </c>
      <c r="C9" s="14" t="s">
        <v>405</v>
      </c>
    </row>
    <row r="10" spans="1:4">
      <c r="A10" t="s">
        <v>409</v>
      </c>
      <c r="C10" t="s">
        <v>396</v>
      </c>
      <c r="D10" s="5"/>
    </row>
    <row r="11" spans="1:4">
      <c r="A11" t="s">
        <v>406</v>
      </c>
      <c r="B11" t="s">
        <v>407</v>
      </c>
      <c r="C11" t="s">
        <v>402</v>
      </c>
      <c r="D11" t="s">
        <v>408</v>
      </c>
    </row>
    <row r="12" spans="1:4">
      <c r="A12" t="s">
        <v>412</v>
      </c>
      <c r="B12" t="s">
        <v>614</v>
      </c>
      <c r="C12" t="s">
        <v>402</v>
      </c>
    </row>
    <row r="13" spans="1:4">
      <c r="A13" t="s">
        <v>615</v>
      </c>
      <c r="B13" t="s">
        <v>616</v>
      </c>
      <c r="C13" t="s">
        <v>396</v>
      </c>
    </row>
    <row r="14" spans="1:4">
      <c r="A14" t="s">
        <v>618</v>
      </c>
    </row>
    <row r="15" spans="1:4">
      <c r="A15" t="s">
        <v>406</v>
      </c>
      <c r="B15" t="s">
        <v>454</v>
      </c>
      <c r="C15" t="s">
        <v>402</v>
      </c>
      <c r="D15" t="s">
        <v>455</v>
      </c>
    </row>
    <row r="16" spans="1:4">
      <c r="A16" t="s">
        <v>406</v>
      </c>
      <c r="B16" t="s">
        <v>456</v>
      </c>
      <c r="C16" t="s">
        <v>457</v>
      </c>
    </row>
    <row r="17" spans="1:4">
      <c r="A17" t="s">
        <v>406</v>
      </c>
      <c r="B17" t="s">
        <v>463</v>
      </c>
      <c r="D17" t="s">
        <v>660</v>
      </c>
    </row>
    <row r="18" spans="1:4">
      <c r="A18" t="s">
        <v>617</v>
      </c>
      <c r="B18" t="s">
        <v>458</v>
      </c>
    </row>
    <row r="19" spans="1:4">
      <c r="A19" t="s">
        <v>406</v>
      </c>
      <c r="B19" t="s">
        <v>459</v>
      </c>
    </row>
    <row r="20" spans="1:4">
      <c r="A20" t="s">
        <v>406</v>
      </c>
      <c r="B20" t="s">
        <v>460</v>
      </c>
    </row>
    <row r="21" spans="1:4">
      <c r="A21" t="s">
        <v>461</v>
      </c>
      <c r="B21" t="s">
        <v>462</v>
      </c>
    </row>
    <row r="22" spans="1:4">
      <c r="A22" t="s">
        <v>464</v>
      </c>
    </row>
    <row r="23" spans="1:4">
      <c r="A23" t="s">
        <v>465</v>
      </c>
      <c r="D23" t="s">
        <v>661</v>
      </c>
    </row>
    <row r="24" spans="1:4">
      <c r="A24" t="s">
        <v>466</v>
      </c>
      <c r="D24" t="s">
        <v>662</v>
      </c>
    </row>
    <row r="25" spans="1:4">
      <c r="A25" t="s">
        <v>467</v>
      </c>
    </row>
    <row r="26" spans="1:4">
      <c r="A26" t="s">
        <v>688</v>
      </c>
    </row>
    <row r="27" spans="1:4">
      <c r="A27" t="s">
        <v>689</v>
      </c>
    </row>
    <row r="31" spans="1:4">
      <c r="A31" t="s">
        <v>619</v>
      </c>
    </row>
    <row r="32" spans="1:4">
      <c r="A32" t="s">
        <v>620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1EE30-A7E2-4C7A-8C61-FDFDE8F0687C}">
  <dimension ref="A1:D21"/>
  <sheetViews>
    <sheetView rightToLeft="1" workbookViewId="0">
      <selection activeCell="B18" sqref="B18"/>
    </sheetView>
  </sheetViews>
  <sheetFormatPr defaultRowHeight="14.4"/>
  <cols>
    <col min="1" max="1" width="12.33203125" customWidth="1"/>
    <col min="2" max="2" width="39.21875" customWidth="1"/>
    <col min="4" max="4" width="48.44140625" customWidth="1"/>
  </cols>
  <sheetData>
    <row r="1" spans="1:4">
      <c r="A1" s="55" t="s">
        <v>389</v>
      </c>
      <c r="B1" s="55" t="s">
        <v>390</v>
      </c>
      <c r="C1" s="55" t="s">
        <v>84</v>
      </c>
      <c r="D1" s="55" t="s">
        <v>391</v>
      </c>
    </row>
    <row r="2" spans="1:4">
      <c r="A2" t="s">
        <v>621</v>
      </c>
      <c r="B2" t="s">
        <v>638</v>
      </c>
      <c r="C2" t="s">
        <v>402</v>
      </c>
    </row>
    <row r="3" spans="1:4">
      <c r="A3" t="s">
        <v>621</v>
      </c>
      <c r="B3" t="s">
        <v>622</v>
      </c>
    </row>
    <row r="4" spans="1:4">
      <c r="A4" t="s">
        <v>625</v>
      </c>
      <c r="B4" t="s">
        <v>624</v>
      </c>
    </row>
    <row r="5" spans="1:4">
      <c r="A5" t="s">
        <v>626</v>
      </c>
      <c r="B5" t="s">
        <v>623</v>
      </c>
    </row>
    <row r="6" spans="1:4">
      <c r="A6" t="s">
        <v>627</v>
      </c>
      <c r="B6" t="s">
        <v>628</v>
      </c>
    </row>
    <row r="7" spans="1:4">
      <c r="A7" t="s">
        <v>630</v>
      </c>
      <c r="B7" t="s">
        <v>629</v>
      </c>
    </row>
    <row r="8" spans="1:4">
      <c r="A8" t="s">
        <v>626</v>
      </c>
      <c r="B8" t="s">
        <v>631</v>
      </c>
    </row>
    <row r="9" spans="1:4">
      <c r="A9" t="s">
        <v>626</v>
      </c>
      <c r="B9" t="s">
        <v>632</v>
      </c>
    </row>
    <row r="10" spans="1:4">
      <c r="A10" t="s">
        <v>111</v>
      </c>
      <c r="B10" t="s">
        <v>635</v>
      </c>
    </row>
    <row r="11" spans="1:4">
      <c r="A11" t="s">
        <v>111</v>
      </c>
      <c r="B11" t="s">
        <v>633</v>
      </c>
    </row>
    <row r="12" spans="1:4">
      <c r="A12" t="s">
        <v>111</v>
      </c>
      <c r="B12" t="s">
        <v>634</v>
      </c>
    </row>
    <row r="13" spans="1:4">
      <c r="A13" t="s">
        <v>625</v>
      </c>
      <c r="B13" t="s">
        <v>636</v>
      </c>
    </row>
    <row r="14" spans="1:4">
      <c r="A14" t="s">
        <v>406</v>
      </c>
      <c r="B14" t="s">
        <v>637</v>
      </c>
    </row>
    <row r="16" spans="1:4">
      <c r="A16" t="s">
        <v>649</v>
      </c>
      <c r="B16" t="s">
        <v>650</v>
      </c>
    </row>
    <row r="17" spans="1:2">
      <c r="B17" t="s">
        <v>658</v>
      </c>
    </row>
    <row r="18" spans="1:2">
      <c r="A18" t="s">
        <v>651</v>
      </c>
      <c r="B18" t="s">
        <v>652</v>
      </c>
    </row>
    <row r="19" spans="1:2">
      <c r="A19" t="s">
        <v>657</v>
      </c>
      <c r="B19" t="s">
        <v>656</v>
      </c>
    </row>
    <row r="20" spans="1:2">
      <c r="A20" t="s">
        <v>654</v>
      </c>
      <c r="B20" t="s">
        <v>653</v>
      </c>
    </row>
    <row r="21" spans="1:2">
      <c r="A21" t="s">
        <v>406</v>
      </c>
      <c r="B21" t="s">
        <v>655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workbookViewId="0">
      <selection activeCell="D7" sqref="D7"/>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102</v>
      </c>
      <c r="B1" s="8"/>
      <c r="C1" s="8"/>
      <c r="D1" s="8"/>
      <c r="E1" s="8"/>
      <c r="F1" s="8"/>
      <c r="G1" s="8"/>
      <c r="H1" s="8"/>
      <c r="I1" s="8"/>
    </row>
    <row r="3" spans="1:9">
      <c r="A3" s="10" t="s">
        <v>65</v>
      </c>
      <c r="B3" s="10" t="s">
        <v>66</v>
      </c>
      <c r="C3" s="10" t="s">
        <v>57</v>
      </c>
      <c r="D3" s="10" t="s">
        <v>2</v>
      </c>
      <c r="E3" s="10" t="s">
        <v>108</v>
      </c>
      <c r="F3" s="10" t="s">
        <v>119</v>
      </c>
      <c r="G3" s="10" t="s">
        <v>59</v>
      </c>
      <c r="H3" s="10" t="s">
        <v>245</v>
      </c>
      <c r="I3" s="10" t="s">
        <v>105</v>
      </c>
    </row>
    <row r="4" spans="1:9">
      <c r="A4" s="11" t="s">
        <v>69</v>
      </c>
      <c r="B4" s="11" t="s">
        <v>62</v>
      </c>
      <c r="D4" s="5"/>
      <c r="E4" s="11" t="s">
        <v>67</v>
      </c>
      <c r="F4" s="11"/>
      <c r="G4" s="11" t="s">
        <v>68</v>
      </c>
      <c r="H4" s="11"/>
      <c r="I4" s="8"/>
    </row>
    <row r="5" spans="1:9">
      <c r="A5" s="11" t="s">
        <v>71</v>
      </c>
      <c r="B5" s="11" t="s">
        <v>72</v>
      </c>
      <c r="C5" s="11" t="s">
        <v>8</v>
      </c>
      <c r="D5" s="5"/>
      <c r="E5" s="5" t="s">
        <v>109</v>
      </c>
      <c r="F5" s="5"/>
      <c r="G5" s="11" t="s">
        <v>70</v>
      </c>
      <c r="H5" s="11"/>
      <c r="I5" s="8"/>
    </row>
    <row r="6" spans="1:9" ht="43.2">
      <c r="A6" s="11" t="s">
        <v>73</v>
      </c>
      <c r="B6" s="11" t="s">
        <v>74</v>
      </c>
      <c r="C6" s="11" t="s">
        <v>8</v>
      </c>
      <c r="D6" s="5"/>
      <c r="E6" s="5" t="s">
        <v>109</v>
      </c>
      <c r="F6" s="5" t="s">
        <v>120</v>
      </c>
      <c r="G6" s="11" t="s">
        <v>73</v>
      </c>
      <c r="H6" s="11" t="s">
        <v>280</v>
      </c>
      <c r="I6" s="5"/>
    </row>
    <row r="7" spans="1:9" ht="43.2">
      <c r="A7" s="11" t="s">
        <v>75</v>
      </c>
      <c r="B7" s="11" t="s">
        <v>76</v>
      </c>
      <c r="C7" s="11" t="s">
        <v>8</v>
      </c>
      <c r="D7" s="5" t="s">
        <v>103</v>
      </c>
      <c r="E7" s="5" t="s">
        <v>109</v>
      </c>
      <c r="F7" s="5" t="s">
        <v>120</v>
      </c>
      <c r="G7" s="11" t="s">
        <v>75</v>
      </c>
      <c r="H7" s="11" t="s">
        <v>281</v>
      </c>
      <c r="I7" s="5" t="s">
        <v>268</v>
      </c>
    </row>
    <row r="8" spans="1:9" ht="72">
      <c r="A8" s="11" t="s">
        <v>78</v>
      </c>
      <c r="B8" s="11" t="s">
        <v>79</v>
      </c>
      <c r="C8" s="11" t="s">
        <v>8</v>
      </c>
      <c r="D8" s="5" t="s">
        <v>104</v>
      </c>
      <c r="E8" s="5" t="s">
        <v>109</v>
      </c>
      <c r="F8" s="5" t="s">
        <v>120</v>
      </c>
      <c r="G8" s="11" t="s">
        <v>77</v>
      </c>
      <c r="H8" s="11" t="s">
        <v>246</v>
      </c>
      <c r="I8" s="11" t="s">
        <v>287</v>
      </c>
    </row>
    <row r="9" spans="1:9" ht="28.8">
      <c r="A9" s="11" t="s">
        <v>106</v>
      </c>
      <c r="B9" s="11" t="s">
        <v>107</v>
      </c>
      <c r="C9" s="11" t="s">
        <v>8</v>
      </c>
      <c r="D9" s="5"/>
      <c r="E9" s="5" t="s">
        <v>110</v>
      </c>
      <c r="F9" s="5" t="s">
        <v>120</v>
      </c>
      <c r="G9" s="11" t="s">
        <v>106</v>
      </c>
      <c r="H9" s="11"/>
      <c r="I9" s="11" t="s">
        <v>288</v>
      </c>
    </row>
    <row r="10" spans="1:9" ht="100.8">
      <c r="A10" s="11" t="s">
        <v>80</v>
      </c>
      <c r="B10" s="11" t="s">
        <v>81</v>
      </c>
      <c r="C10" s="11" t="s">
        <v>8</v>
      </c>
      <c r="D10" s="5"/>
      <c r="E10" s="5" t="s">
        <v>109</v>
      </c>
      <c r="F10" s="5"/>
      <c r="G10" s="11" t="s">
        <v>80</v>
      </c>
      <c r="H10" s="11" t="s">
        <v>264</v>
      </c>
      <c r="I10" s="5"/>
    </row>
    <row r="11" spans="1:9" ht="43.2">
      <c r="A11" s="11" t="s">
        <v>63</v>
      </c>
      <c r="B11" s="11" t="s">
        <v>82</v>
      </c>
      <c r="C11" s="11" t="s">
        <v>8</v>
      </c>
      <c r="D11" s="5"/>
      <c r="E11" s="5" t="s">
        <v>109</v>
      </c>
      <c r="F11" s="5" t="s">
        <v>121</v>
      </c>
      <c r="G11" s="11" t="s">
        <v>63</v>
      </c>
      <c r="H11" s="11" t="s">
        <v>282</v>
      </c>
      <c r="I11" s="5"/>
    </row>
    <row r="12" spans="1:9" ht="72">
      <c r="A12" s="11" t="s">
        <v>84</v>
      </c>
      <c r="B12" s="11" t="s">
        <v>85</v>
      </c>
      <c r="D12" s="5" t="s">
        <v>273</v>
      </c>
      <c r="E12" s="11" t="s">
        <v>111</v>
      </c>
      <c r="F12" s="11" t="s">
        <v>265</v>
      </c>
      <c r="G12" s="11" t="s">
        <v>83</v>
      </c>
      <c r="H12" s="31"/>
      <c r="I12" s="30" t="s">
        <v>274</v>
      </c>
    </row>
    <row r="13" spans="1:9" ht="43.2">
      <c r="A13" s="11" t="s">
        <v>87</v>
      </c>
      <c r="B13" s="11" t="s">
        <v>88</v>
      </c>
      <c r="D13" s="5"/>
      <c r="E13" s="11" t="s">
        <v>67</v>
      </c>
      <c r="F13" s="11" t="s">
        <v>265</v>
      </c>
      <c r="G13" s="11" t="s">
        <v>86</v>
      </c>
      <c r="H13" s="11"/>
      <c r="I13" s="8"/>
    </row>
    <row r="14" spans="1:9" ht="115.2">
      <c r="A14" s="11" t="s">
        <v>89</v>
      </c>
      <c r="B14" s="11" t="s">
        <v>90</v>
      </c>
      <c r="D14" s="5"/>
      <c r="E14" s="11" t="s">
        <v>111</v>
      </c>
      <c r="F14" s="11" t="s">
        <v>265</v>
      </c>
      <c r="G14" s="11" t="s">
        <v>283</v>
      </c>
      <c r="H14" s="11" t="s">
        <v>347</v>
      </c>
      <c r="I14" s="11"/>
    </row>
    <row r="15" spans="1:9" ht="28.8">
      <c r="A15" s="11" t="s">
        <v>91</v>
      </c>
      <c r="B15" s="11" t="s">
        <v>92</v>
      </c>
      <c r="C15" s="11" t="s">
        <v>9</v>
      </c>
      <c r="D15" s="5"/>
      <c r="E15" s="5" t="s">
        <v>111</v>
      </c>
      <c r="F15" s="5" t="s">
        <v>123</v>
      </c>
      <c r="G15" s="11" t="s">
        <v>284</v>
      </c>
      <c r="H15" s="11"/>
      <c r="I15" s="11"/>
    </row>
    <row r="16" spans="1:9">
      <c r="A16" s="11" t="s">
        <v>94</v>
      </c>
      <c r="B16" s="11" t="s">
        <v>95</v>
      </c>
      <c r="C16" s="11" t="s">
        <v>8</v>
      </c>
      <c r="D16" s="5"/>
      <c r="E16" s="5" t="s">
        <v>67</v>
      </c>
      <c r="F16" s="5"/>
      <c r="G16" s="11" t="s">
        <v>93</v>
      </c>
      <c r="H16" s="11"/>
      <c r="I16" s="30" t="s">
        <v>267</v>
      </c>
    </row>
    <row r="17" spans="1:9">
      <c r="A17" s="11" t="s">
        <v>97</v>
      </c>
      <c r="B17" s="11" t="s">
        <v>98</v>
      </c>
      <c r="C17" s="11"/>
      <c r="D17" s="5"/>
      <c r="E17" s="5" t="s">
        <v>67</v>
      </c>
      <c r="F17" s="5"/>
      <c r="G17" s="11" t="s">
        <v>96</v>
      </c>
      <c r="H17" s="11"/>
      <c r="I17" s="8"/>
    </row>
    <row r="18" spans="1:9" ht="86.4">
      <c r="A18" s="11" t="s">
        <v>51</v>
      </c>
      <c r="B18" s="11" t="s">
        <v>50</v>
      </c>
      <c r="C18" s="11" t="s">
        <v>9</v>
      </c>
      <c r="D18" s="11"/>
      <c r="E18" s="11" t="s">
        <v>111</v>
      </c>
      <c r="F18" s="11" t="s">
        <v>266</v>
      </c>
      <c r="G18" s="11" t="s">
        <v>324</v>
      </c>
      <c r="H18" s="11"/>
      <c r="I18" s="30"/>
    </row>
    <row r="19" spans="1:9" ht="57.6">
      <c r="A19" s="11" t="s">
        <v>52</v>
      </c>
      <c r="B19" s="11" t="s">
        <v>303</v>
      </c>
      <c r="C19" s="11" t="s">
        <v>9</v>
      </c>
      <c r="D19" s="11"/>
      <c r="E19" s="11" t="s">
        <v>111</v>
      </c>
      <c r="F19" s="11" t="s">
        <v>124</v>
      </c>
      <c r="G19" s="11" t="s">
        <v>323</v>
      </c>
      <c r="H19" s="11" t="s">
        <v>325</v>
      </c>
      <c r="I19" s="30"/>
    </row>
    <row r="20" spans="1:9" ht="57.6">
      <c r="A20" s="11" t="s">
        <v>116</v>
      </c>
      <c r="B20" s="11" t="s">
        <v>118</v>
      </c>
      <c r="C20" s="11" t="s">
        <v>9</v>
      </c>
      <c r="E20" s="5" t="s">
        <v>117</v>
      </c>
      <c r="F20" s="5" t="s">
        <v>125</v>
      </c>
      <c r="G20" s="11" t="s">
        <v>286</v>
      </c>
      <c r="H20" s="11" t="s">
        <v>348</v>
      </c>
      <c r="I20" s="11" t="s">
        <v>285</v>
      </c>
    </row>
    <row r="21" spans="1:9">
      <c r="A21" s="11" t="s">
        <v>276</v>
      </c>
    </row>
    <row r="22" spans="1:9">
      <c r="A22" s="11" t="s">
        <v>277</v>
      </c>
    </row>
    <row r="23" spans="1:9" ht="28.8">
      <c r="A23" s="11" t="s">
        <v>278</v>
      </c>
    </row>
    <row r="24" spans="1:9">
      <c r="A24" s="11" t="s">
        <v>279</v>
      </c>
    </row>
    <row r="25" spans="1:9">
      <c r="A25" s="11" t="s">
        <v>99</v>
      </c>
      <c r="B25" s="12" t="s">
        <v>112</v>
      </c>
      <c r="C25" s="12"/>
      <c r="D25" s="12"/>
      <c r="E25" s="12" t="s">
        <v>110</v>
      </c>
      <c r="F25" s="12"/>
      <c r="G25" s="11" t="s">
        <v>101</v>
      </c>
    </row>
    <row r="26" spans="1:9">
      <c r="A26" s="11" t="s">
        <v>100</v>
      </c>
      <c r="B26" s="12" t="s">
        <v>113</v>
      </c>
      <c r="C26" s="12"/>
      <c r="D26" s="12"/>
      <c r="E26" s="12" t="s">
        <v>110</v>
      </c>
      <c r="F26" s="12"/>
      <c r="G26" s="11" t="s">
        <v>101</v>
      </c>
    </row>
    <row r="27" spans="1:9" ht="28.8">
      <c r="A27" s="11" t="s">
        <v>349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8"/>
  <sheetViews>
    <sheetView rightToLeft="1" tabSelected="1" topLeftCell="A4" zoomScale="75" zoomScaleNormal="75" workbookViewId="0">
      <selection activeCell="A9" sqref="A9"/>
    </sheetView>
  </sheetViews>
  <sheetFormatPr defaultRowHeight="14.4"/>
  <cols>
    <col min="2" max="2" width="17.21875" customWidth="1"/>
    <col min="3" max="3" width="17.109375" customWidth="1"/>
    <col min="4" max="4" width="20.5546875" style="38" customWidth="1"/>
    <col min="5" max="5" width="49.44140625" style="5" customWidth="1"/>
    <col min="6" max="6" width="22.33203125" style="5" customWidth="1"/>
    <col min="7" max="7" width="12.109375" customWidth="1"/>
    <col min="8" max="8" width="17.77734375" customWidth="1"/>
    <col min="9" max="9" width="12" customWidth="1"/>
    <col min="10" max="10" width="15.33203125" customWidth="1"/>
    <col min="11" max="11" width="40.6640625" customWidth="1"/>
    <col min="12" max="12" width="12" customWidth="1"/>
    <col min="13" max="13" width="14.33203125" customWidth="1"/>
  </cols>
  <sheetData>
    <row r="1" spans="1:14">
      <c r="B1" s="38"/>
      <c r="C1" s="4" t="s">
        <v>58</v>
      </c>
      <c r="D1" s="5"/>
    </row>
    <row r="2" spans="1:14">
      <c r="B2" s="38"/>
      <c r="C2" s="28" t="s">
        <v>205</v>
      </c>
      <c r="D2" s="5"/>
    </row>
    <row r="4" spans="1:14" ht="27.6">
      <c r="A4" s="9" t="s">
        <v>413</v>
      </c>
      <c r="B4" s="9" t="s">
        <v>766</v>
      </c>
      <c r="C4" s="39" t="s">
        <v>6</v>
      </c>
      <c r="D4" s="9" t="s">
        <v>7</v>
      </c>
      <c r="E4" s="9" t="s">
        <v>59</v>
      </c>
      <c r="F4" s="9" t="s">
        <v>773</v>
      </c>
      <c r="G4" s="9" t="s">
        <v>3</v>
      </c>
      <c r="H4" s="9" t="s">
        <v>4</v>
      </c>
      <c r="I4" s="9" t="s">
        <v>57</v>
      </c>
      <c r="J4" s="9" t="s">
        <v>659</v>
      </c>
      <c r="K4" s="9" t="s">
        <v>0</v>
      </c>
      <c r="L4" s="9" t="s">
        <v>156</v>
      </c>
      <c r="M4" s="9" t="s">
        <v>157</v>
      </c>
      <c r="N4" s="9" t="s">
        <v>105</v>
      </c>
    </row>
    <row r="5" spans="1:14" ht="28.8">
      <c r="A5" s="2" t="s">
        <v>807</v>
      </c>
      <c r="B5" s="2" t="s">
        <v>767</v>
      </c>
      <c r="C5" t="s">
        <v>803</v>
      </c>
      <c r="D5" s="3" t="s">
        <v>758</v>
      </c>
      <c r="E5" s="3"/>
      <c r="F5" s="3"/>
      <c r="G5" s="3"/>
      <c r="H5" s="3"/>
      <c r="I5" s="2"/>
      <c r="J5" s="2"/>
      <c r="K5" s="21"/>
    </row>
    <row r="6" spans="1:14" ht="28.8">
      <c r="A6" s="2" t="s">
        <v>807</v>
      </c>
      <c r="B6" s="2" t="s">
        <v>767</v>
      </c>
      <c r="C6" t="s">
        <v>753</v>
      </c>
      <c r="D6" s="3" t="s">
        <v>757</v>
      </c>
      <c r="E6" s="3"/>
      <c r="F6" s="3"/>
      <c r="G6" s="3"/>
      <c r="H6" s="3"/>
      <c r="I6" s="2"/>
      <c r="J6" s="2"/>
      <c r="K6" s="21"/>
    </row>
    <row r="7" spans="1:14" ht="28.8">
      <c r="A7" s="2" t="s">
        <v>807</v>
      </c>
      <c r="B7" s="2" t="s">
        <v>767</v>
      </c>
      <c r="C7" t="s">
        <v>754</v>
      </c>
      <c r="D7" s="3" t="s">
        <v>756</v>
      </c>
      <c r="E7" s="3"/>
      <c r="F7" s="3"/>
      <c r="G7" s="3"/>
      <c r="H7" s="3"/>
      <c r="I7" s="2"/>
      <c r="J7" s="2"/>
      <c r="K7" s="21"/>
    </row>
    <row r="8" spans="1:14" ht="28.8">
      <c r="A8" s="2" t="s">
        <v>807</v>
      </c>
      <c r="B8" s="2" t="s">
        <v>767</v>
      </c>
      <c r="C8" t="s">
        <v>804</v>
      </c>
      <c r="D8" s="3" t="s">
        <v>755</v>
      </c>
      <c r="E8" s="3"/>
      <c r="F8" s="3"/>
      <c r="G8" s="3"/>
      <c r="H8" s="3"/>
      <c r="J8" s="2"/>
    </row>
    <row r="9" spans="1:14" ht="28.8">
      <c r="A9" s="2" t="s">
        <v>807</v>
      </c>
      <c r="B9" s="2" t="s">
        <v>767</v>
      </c>
      <c r="C9" s="2" t="s">
        <v>805</v>
      </c>
      <c r="D9" s="3" t="s">
        <v>639</v>
      </c>
      <c r="E9" s="3"/>
      <c r="F9" s="3"/>
      <c r="G9" s="3"/>
      <c r="H9" s="3"/>
      <c r="J9" s="2"/>
    </row>
    <row r="10" spans="1:14" ht="28.8">
      <c r="A10" s="2" t="s">
        <v>715</v>
      </c>
      <c r="B10" s="2"/>
      <c r="C10" s="2"/>
      <c r="D10" s="3" t="s">
        <v>806</v>
      </c>
      <c r="E10" s="3"/>
      <c r="F10" s="3"/>
      <c r="G10" s="3"/>
      <c r="H10" s="3"/>
      <c r="J10" s="2"/>
    </row>
    <row r="11" spans="1:14" ht="28.8">
      <c r="A11" s="2" t="s">
        <v>715</v>
      </c>
      <c r="B11" s="2" t="s">
        <v>767</v>
      </c>
      <c r="C11" s="2" t="s">
        <v>760</v>
      </c>
      <c r="D11" s="3" t="s">
        <v>435</v>
      </c>
      <c r="E11" s="3"/>
      <c r="F11" s="3"/>
      <c r="G11" s="3"/>
      <c r="H11" s="3"/>
      <c r="J11" s="2"/>
    </row>
    <row r="12" spans="1:14" ht="331.2">
      <c r="A12" s="2" t="s">
        <v>715</v>
      </c>
      <c r="B12" s="2" t="s">
        <v>767</v>
      </c>
      <c r="C12" s="2" t="s">
        <v>759</v>
      </c>
      <c r="D12" s="3" t="s">
        <v>436</v>
      </c>
      <c r="E12" s="3" t="s">
        <v>798</v>
      </c>
      <c r="F12" s="3"/>
      <c r="G12" s="3"/>
      <c r="H12" s="3"/>
      <c r="J12" s="2"/>
      <c r="K12" s="5"/>
    </row>
    <row r="13" spans="1:14" ht="28.8">
      <c r="A13" s="2" t="s">
        <v>763</v>
      </c>
      <c r="B13" s="3" t="s">
        <v>765</v>
      </c>
      <c r="C13" s="2" t="s">
        <v>665</v>
      </c>
      <c r="D13" s="2" t="s">
        <v>764</v>
      </c>
      <c r="E13" s="3"/>
      <c r="F13" s="3"/>
      <c r="G13" s="3"/>
      <c r="H13" s="3"/>
      <c r="J13" s="2"/>
    </row>
    <row r="14" spans="1:14" ht="27.6">
      <c r="A14" s="2" t="s">
        <v>763</v>
      </c>
      <c r="B14" s="3" t="s">
        <v>765</v>
      </c>
      <c r="C14" s="2" t="s">
        <v>768</v>
      </c>
      <c r="D14" s="2" t="s">
        <v>704</v>
      </c>
      <c r="E14" s="3"/>
      <c r="F14" s="3"/>
      <c r="G14" s="3"/>
      <c r="H14" s="3"/>
      <c r="J14" s="2"/>
    </row>
    <row r="15" spans="1:14" ht="27.6">
      <c r="A15" s="2" t="s">
        <v>763</v>
      </c>
      <c r="B15" s="3" t="s">
        <v>765</v>
      </c>
      <c r="C15" t="s">
        <v>761</v>
      </c>
      <c r="D15" s="2" t="s">
        <v>762</v>
      </c>
      <c r="E15" s="3"/>
      <c r="F15" s="3"/>
      <c r="G15" s="3"/>
      <c r="H15" s="2"/>
      <c r="J15" s="2"/>
    </row>
    <row r="16" spans="1:14" ht="27.6">
      <c r="A16" s="2" t="s">
        <v>763</v>
      </c>
      <c r="B16" s="3" t="s">
        <v>765</v>
      </c>
      <c r="C16" t="s">
        <v>666</v>
      </c>
      <c r="D16" s="3" t="s">
        <v>707</v>
      </c>
      <c r="E16" s="3"/>
      <c r="F16" s="3"/>
      <c r="G16" s="3"/>
      <c r="H16" s="2"/>
      <c r="J16" s="2"/>
    </row>
    <row r="17" spans="1:11" ht="27.6">
      <c r="A17" s="2" t="s">
        <v>763</v>
      </c>
      <c r="B17" s="3" t="s">
        <v>765</v>
      </c>
      <c r="C17" t="s">
        <v>671</v>
      </c>
      <c r="D17" s="3" t="s">
        <v>775</v>
      </c>
      <c r="E17" s="3"/>
      <c r="F17" s="3"/>
      <c r="G17" s="3"/>
      <c r="H17" s="2"/>
      <c r="J17" s="2"/>
    </row>
    <row r="18" spans="1:11" ht="27.6">
      <c r="A18" s="2" t="s">
        <v>763</v>
      </c>
      <c r="B18" s="3" t="s">
        <v>765</v>
      </c>
      <c r="C18" t="s">
        <v>785</v>
      </c>
      <c r="D18" s="3" t="s">
        <v>701</v>
      </c>
      <c r="E18" s="3"/>
      <c r="F18" s="3"/>
      <c r="G18" s="3"/>
      <c r="H18" s="3"/>
      <c r="K18" s="34"/>
    </row>
    <row r="19" spans="1:11" ht="27.6">
      <c r="A19" s="2" t="s">
        <v>763</v>
      </c>
      <c r="B19" s="3" t="s">
        <v>765</v>
      </c>
      <c r="C19" t="s">
        <v>786</v>
      </c>
      <c r="D19" s="3" t="s">
        <v>702</v>
      </c>
      <c r="E19" s="3"/>
      <c r="F19" s="3"/>
      <c r="G19" s="3"/>
      <c r="H19" s="3"/>
      <c r="K19" s="34"/>
    </row>
    <row r="20" spans="1:11" ht="27.6">
      <c r="A20" s="2" t="s">
        <v>763</v>
      </c>
      <c r="B20" s="3" t="s">
        <v>765</v>
      </c>
      <c r="C20" t="s">
        <v>787</v>
      </c>
      <c r="D20" s="3" t="s">
        <v>22</v>
      </c>
      <c r="E20" s="3"/>
      <c r="F20" s="3"/>
      <c r="G20" s="3"/>
      <c r="H20" s="3"/>
      <c r="K20" s="34"/>
    </row>
    <row r="21" spans="1:11">
      <c r="A21" s="2" t="s">
        <v>693</v>
      </c>
      <c r="B21" s="3" t="s">
        <v>769</v>
      </c>
      <c r="C21" s="2" t="s">
        <v>696</v>
      </c>
      <c r="D21" s="3" t="s">
        <v>697</v>
      </c>
      <c r="E21" s="3"/>
      <c r="F21" s="3"/>
      <c r="G21" s="3"/>
      <c r="H21" s="2"/>
      <c r="J21" s="2"/>
    </row>
    <row r="22" spans="1:11" ht="28.8">
      <c r="A22" s="2" t="s">
        <v>693</v>
      </c>
      <c r="B22" s="3" t="s">
        <v>769</v>
      </c>
      <c r="C22" s="2" t="s">
        <v>717</v>
      </c>
      <c r="D22" s="3" t="s">
        <v>643</v>
      </c>
      <c r="E22" s="3"/>
      <c r="F22" s="3"/>
      <c r="G22" s="3"/>
      <c r="H22" s="2"/>
      <c r="J22" s="2"/>
    </row>
    <row r="23" spans="1:11">
      <c r="A23" s="2" t="s">
        <v>693</v>
      </c>
      <c r="B23" s="3" t="s">
        <v>769</v>
      </c>
      <c r="C23" t="s">
        <v>716</v>
      </c>
      <c r="D23" s="3" t="s">
        <v>644</v>
      </c>
      <c r="E23" s="3"/>
      <c r="F23" s="3" t="s">
        <v>426</v>
      </c>
      <c r="G23" s="3"/>
      <c r="H23" s="2"/>
      <c r="J23" s="2"/>
    </row>
    <row r="24" spans="1:11">
      <c r="A24" s="2" t="s">
        <v>693</v>
      </c>
      <c r="B24" s="3" t="s">
        <v>769</v>
      </c>
      <c r="C24" t="s">
        <v>718</v>
      </c>
      <c r="D24" s="3" t="s">
        <v>719</v>
      </c>
      <c r="E24" s="3"/>
      <c r="F24" s="3" t="s">
        <v>426</v>
      </c>
      <c r="G24" s="3"/>
      <c r="H24" s="2"/>
      <c r="J24" s="2"/>
    </row>
    <row r="25" spans="1:11">
      <c r="A25" s="2" t="s">
        <v>693</v>
      </c>
      <c r="B25" s="3" t="s">
        <v>769</v>
      </c>
      <c r="C25" t="s">
        <v>720</v>
      </c>
      <c r="D25" s="3" t="s">
        <v>721</v>
      </c>
      <c r="E25" s="3"/>
      <c r="F25" s="3"/>
      <c r="G25" s="3"/>
      <c r="H25" s="2"/>
      <c r="J25" s="2"/>
    </row>
    <row r="26" spans="1:11">
      <c r="A26" s="2" t="s">
        <v>771</v>
      </c>
      <c r="B26" s="3" t="s">
        <v>770</v>
      </c>
      <c r="C26" s="56" t="s">
        <v>723</v>
      </c>
      <c r="D26" s="2" t="s">
        <v>724</v>
      </c>
      <c r="E26" s="56" t="s">
        <v>731</v>
      </c>
      <c r="F26" s="56" t="s">
        <v>425</v>
      </c>
      <c r="G26" s="3"/>
      <c r="H26" s="2"/>
      <c r="J26" s="2"/>
    </row>
    <row r="27" spans="1:11">
      <c r="A27" s="2" t="s">
        <v>771</v>
      </c>
      <c r="B27" s="3" t="s">
        <v>770</v>
      </c>
      <c r="C27" s="56" t="s">
        <v>725</v>
      </c>
      <c r="D27" s="2" t="s">
        <v>726</v>
      </c>
      <c r="E27" s="56" t="s">
        <v>730</v>
      </c>
      <c r="F27" s="56"/>
      <c r="G27" s="3"/>
      <c r="J27" s="2"/>
    </row>
    <row r="28" spans="1:11">
      <c r="A28" s="2" t="s">
        <v>771</v>
      </c>
      <c r="B28" s="3" t="s">
        <v>770</v>
      </c>
      <c r="C28" s="56" t="s">
        <v>727</v>
      </c>
      <c r="D28" s="3" t="s">
        <v>728</v>
      </c>
      <c r="E28" s="56" t="s">
        <v>729</v>
      </c>
      <c r="F28" s="56"/>
      <c r="G28" s="3"/>
    </row>
    <row r="29" spans="1:11">
      <c r="A29" s="2" t="s">
        <v>771</v>
      </c>
      <c r="B29" s="3" t="s">
        <v>770</v>
      </c>
      <c r="C29" s="56" t="s">
        <v>732</v>
      </c>
      <c r="D29" s="3" t="s">
        <v>734</v>
      </c>
      <c r="E29" s="56" t="s">
        <v>737</v>
      </c>
      <c r="F29" s="56"/>
      <c r="G29" s="3"/>
    </row>
    <row r="30" spans="1:11">
      <c r="A30" s="2" t="s">
        <v>771</v>
      </c>
      <c r="B30" s="3" t="s">
        <v>770</v>
      </c>
      <c r="C30" s="56" t="s">
        <v>733</v>
      </c>
      <c r="D30" s="3" t="s">
        <v>735</v>
      </c>
      <c r="E30" s="56" t="s">
        <v>736</v>
      </c>
      <c r="F30" s="56"/>
      <c r="G30" s="3"/>
    </row>
    <row r="31" spans="1:11">
      <c r="A31" s="2" t="s">
        <v>771</v>
      </c>
      <c r="B31" s="3" t="s">
        <v>770</v>
      </c>
      <c r="C31" s="56" t="s">
        <v>738</v>
      </c>
      <c r="D31" s="3" t="s">
        <v>750</v>
      </c>
      <c r="E31" s="56" t="s">
        <v>739</v>
      </c>
      <c r="F31" s="56"/>
      <c r="G31" s="3"/>
    </row>
    <row r="32" spans="1:11">
      <c r="A32" s="2" t="s">
        <v>771</v>
      </c>
      <c r="B32" s="3" t="s">
        <v>770</v>
      </c>
      <c r="C32" s="56" t="s">
        <v>544</v>
      </c>
      <c r="D32" s="3" t="s">
        <v>543</v>
      </c>
      <c r="E32" s="56" t="s">
        <v>740</v>
      </c>
      <c r="F32" s="56"/>
      <c r="G32" s="3"/>
      <c r="H32" s="3"/>
      <c r="J32" s="2"/>
    </row>
    <row r="33" spans="1:11">
      <c r="A33" s="2" t="s">
        <v>771</v>
      </c>
      <c r="B33" s="3" t="s">
        <v>770</v>
      </c>
      <c r="C33" s="56" t="s">
        <v>743</v>
      </c>
      <c r="D33" s="3" t="s">
        <v>742</v>
      </c>
      <c r="E33" s="56" t="s">
        <v>741</v>
      </c>
      <c r="F33" s="56"/>
      <c r="G33" s="3"/>
    </row>
    <row r="34" spans="1:11">
      <c r="A34" s="2" t="s">
        <v>771</v>
      </c>
      <c r="B34" s="3" t="s">
        <v>770</v>
      </c>
      <c r="C34" s="56" t="s">
        <v>744</v>
      </c>
      <c r="D34" s="3" t="s">
        <v>745</v>
      </c>
      <c r="E34" s="56" t="s">
        <v>748</v>
      </c>
      <c r="F34" s="56"/>
      <c r="G34" s="3"/>
    </row>
    <row r="35" spans="1:11">
      <c r="A35" s="2" t="s">
        <v>771</v>
      </c>
      <c r="B35" s="3" t="s">
        <v>770</v>
      </c>
      <c r="C35" s="56" t="s">
        <v>746</v>
      </c>
      <c r="D35" s="3" t="s">
        <v>747</v>
      </c>
      <c r="E35" s="56" t="s">
        <v>749</v>
      </c>
      <c r="F35" s="56"/>
      <c r="G35" s="3"/>
    </row>
    <row r="36" spans="1:11">
      <c r="A36" s="2" t="s">
        <v>771</v>
      </c>
      <c r="B36" s="3" t="s">
        <v>770</v>
      </c>
      <c r="C36" s="56" t="s">
        <v>751</v>
      </c>
      <c r="D36" s="3" t="s">
        <v>752</v>
      </c>
      <c r="G36" s="3"/>
    </row>
    <row r="37" spans="1:11" ht="28.8">
      <c r="A37" s="2" t="s">
        <v>426</v>
      </c>
      <c r="B37" s="3" t="s">
        <v>772</v>
      </c>
      <c r="C37" s="49" t="s">
        <v>432</v>
      </c>
      <c r="D37" s="3" t="s">
        <v>414</v>
      </c>
      <c r="E37" s="3"/>
      <c r="F37" s="3"/>
      <c r="G37" s="3"/>
    </row>
    <row r="38" spans="1:11" ht="220.8">
      <c r="A38" s="2" t="s">
        <v>426</v>
      </c>
      <c r="B38" s="3" t="s">
        <v>772</v>
      </c>
      <c r="C38" s="2" t="s">
        <v>30</v>
      </c>
      <c r="D38" s="3" t="s">
        <v>29</v>
      </c>
      <c r="E38" s="3" t="s">
        <v>801</v>
      </c>
      <c r="F38" s="3"/>
      <c r="G38" s="3"/>
    </row>
    <row r="39" spans="1:11" ht="28.8">
      <c r="A39" s="2" t="s">
        <v>426</v>
      </c>
      <c r="B39" s="3" t="s">
        <v>772</v>
      </c>
      <c r="C39" s="2" t="s">
        <v>563</v>
      </c>
      <c r="D39" s="3" t="s">
        <v>57</v>
      </c>
      <c r="E39" s="3" t="s">
        <v>564</v>
      </c>
      <c r="F39" s="3"/>
      <c r="G39" s="3"/>
      <c r="H39" s="3"/>
      <c r="J39" s="2"/>
    </row>
    <row r="40" spans="1:11" ht="28.8">
      <c r="A40" s="2" t="s">
        <v>426</v>
      </c>
      <c r="B40" s="3" t="s">
        <v>772</v>
      </c>
      <c r="C40" s="2" t="s">
        <v>36</v>
      </c>
      <c r="D40" s="3" t="s">
        <v>37</v>
      </c>
      <c r="E40" s="3"/>
      <c r="F40" s="3"/>
      <c r="G40" s="3"/>
      <c r="H40" s="3"/>
    </row>
    <row r="41" spans="1:11" ht="28.8">
      <c r="A41" s="2" t="s">
        <v>426</v>
      </c>
      <c r="B41" s="3" t="s">
        <v>772</v>
      </c>
      <c r="C41" s="2" t="s">
        <v>38</v>
      </c>
      <c r="D41" s="3" t="s">
        <v>39</v>
      </c>
      <c r="E41" s="3"/>
      <c r="F41" s="3"/>
      <c r="G41" s="3"/>
      <c r="H41" s="3"/>
      <c r="J41" s="19"/>
      <c r="K41" s="3"/>
    </row>
    <row r="42" spans="1:11" ht="28.8">
      <c r="A42" s="2" t="s">
        <v>426</v>
      </c>
      <c r="B42" s="3" t="s">
        <v>772</v>
      </c>
      <c r="C42" t="s">
        <v>664</v>
      </c>
      <c r="D42" s="3" t="s">
        <v>705</v>
      </c>
      <c r="E42" s="3"/>
      <c r="F42" s="3"/>
      <c r="G42" s="3"/>
      <c r="H42" s="3"/>
      <c r="K42" s="34"/>
    </row>
    <row r="43" spans="1:11" ht="179.4">
      <c r="A43" s="40" t="s">
        <v>426</v>
      </c>
      <c r="B43" s="37" t="s">
        <v>772</v>
      </c>
      <c r="C43" s="38" t="s">
        <v>799</v>
      </c>
      <c r="D43" s="37" t="s">
        <v>12</v>
      </c>
      <c r="E43" s="37" t="s">
        <v>800</v>
      </c>
      <c r="F43" s="3"/>
      <c r="G43" s="3"/>
      <c r="H43" s="3"/>
      <c r="K43" s="34"/>
    </row>
    <row r="44" spans="1:11">
      <c r="A44" s="2" t="s">
        <v>425</v>
      </c>
      <c r="B44" s="3" t="s">
        <v>776</v>
      </c>
      <c r="C44" s="49" t="s">
        <v>431</v>
      </c>
      <c r="D44" s="48" t="s">
        <v>545</v>
      </c>
      <c r="E44" s="17"/>
      <c r="H44" s="3"/>
    </row>
    <row r="45" spans="1:11">
      <c r="A45" s="2" t="s">
        <v>425</v>
      </c>
      <c r="B45" s="3" t="s">
        <v>776</v>
      </c>
      <c r="C45" s="49" t="s">
        <v>550</v>
      </c>
      <c r="D45" s="3" t="s">
        <v>551</v>
      </c>
    </row>
    <row r="46" spans="1:11">
      <c r="A46" s="2" t="s">
        <v>425</v>
      </c>
      <c r="B46" s="3" t="s">
        <v>776</v>
      </c>
      <c r="C46" t="s">
        <v>557</v>
      </c>
      <c r="D46" s="3" t="s">
        <v>384</v>
      </c>
    </row>
    <row r="47" spans="1:11">
      <c r="A47" s="2" t="s">
        <v>425</v>
      </c>
      <c r="B47" s="3" t="s">
        <v>776</v>
      </c>
      <c r="C47" s="2" t="s">
        <v>44</v>
      </c>
      <c r="D47" s="3" t="s">
        <v>350</v>
      </c>
      <c r="E47" s="3"/>
      <c r="F47" s="3"/>
      <c r="G47" s="3"/>
      <c r="H47" s="3"/>
      <c r="I47" s="3"/>
      <c r="J47" s="3"/>
      <c r="K47" s="3"/>
    </row>
    <row r="48" spans="1:11" ht="28.8">
      <c r="A48" s="2" t="s">
        <v>425</v>
      </c>
      <c r="B48" s="3" t="s">
        <v>776</v>
      </c>
      <c r="C48" s="2" t="s">
        <v>559</v>
      </c>
      <c r="D48" s="3" t="s">
        <v>558</v>
      </c>
      <c r="E48" s="3"/>
      <c r="F48" s="3"/>
      <c r="G48" s="3"/>
      <c r="H48" s="3"/>
    </row>
    <row r="49" spans="1:10">
      <c r="A49" s="2" t="s">
        <v>425</v>
      </c>
      <c r="B49" s="3" t="s">
        <v>776</v>
      </c>
      <c r="C49" s="49" t="s">
        <v>42</v>
      </c>
      <c r="D49" s="3" t="s">
        <v>43</v>
      </c>
      <c r="E49" s="3"/>
      <c r="F49" s="3"/>
      <c r="G49" s="3"/>
      <c r="H49" s="3"/>
      <c r="J49" s="2"/>
    </row>
    <row r="50" spans="1:10">
      <c r="A50" s="2" t="s">
        <v>425</v>
      </c>
      <c r="B50" s="3" t="s">
        <v>776</v>
      </c>
      <c r="C50" s="2" t="s">
        <v>31</v>
      </c>
      <c r="D50" s="3" t="s">
        <v>32</v>
      </c>
      <c r="E50" s="3"/>
      <c r="F50" s="3"/>
      <c r="G50" s="3"/>
      <c r="H50" s="3"/>
      <c r="J50" s="2"/>
    </row>
    <row r="51" spans="1:10">
      <c r="A51" s="2" t="s">
        <v>425</v>
      </c>
      <c r="B51" s="3" t="s">
        <v>776</v>
      </c>
      <c r="C51" s="2" t="s">
        <v>777</v>
      </c>
      <c r="D51" s="3" t="s">
        <v>567</v>
      </c>
      <c r="E51" s="3"/>
      <c r="F51" s="17"/>
      <c r="G51" s="3"/>
      <c r="H51" s="2"/>
    </row>
    <row r="52" spans="1:10">
      <c r="A52" s="2" t="s">
        <v>425</v>
      </c>
      <c r="B52" s="3" t="s">
        <v>776</v>
      </c>
      <c r="C52" s="2" t="s">
        <v>778</v>
      </c>
      <c r="D52" s="3" t="s">
        <v>568</v>
      </c>
    </row>
    <row r="53" spans="1:10">
      <c r="A53" s="2" t="s">
        <v>425</v>
      </c>
      <c r="B53" s="3" t="s">
        <v>776</v>
      </c>
      <c r="C53" s="49" t="s">
        <v>774</v>
      </c>
      <c r="D53" s="3" t="s">
        <v>35</v>
      </c>
    </row>
    <row r="54" spans="1:10">
      <c r="A54" s="2" t="s">
        <v>425</v>
      </c>
      <c r="B54" s="3" t="s">
        <v>776</v>
      </c>
      <c r="C54" s="2" t="s">
        <v>16</v>
      </c>
      <c r="D54" t="s">
        <v>779</v>
      </c>
    </row>
    <row r="55" spans="1:10">
      <c r="A55" s="2" t="s">
        <v>425</v>
      </c>
      <c r="B55" s="3" t="s">
        <v>776</v>
      </c>
      <c r="C55" s="2" t="s">
        <v>27</v>
      </c>
      <c r="D55" s="3" t="s">
        <v>788</v>
      </c>
    </row>
    <row r="56" spans="1:10">
      <c r="A56" s="2" t="s">
        <v>425</v>
      </c>
      <c r="B56" s="3" t="s">
        <v>776</v>
      </c>
      <c r="C56" s="2"/>
      <c r="D56" s="17" t="s">
        <v>802</v>
      </c>
    </row>
    <row r="57" spans="1:10" ht="69">
      <c r="A57" s="2" t="s">
        <v>425</v>
      </c>
      <c r="B57" s="3" t="s">
        <v>776</v>
      </c>
      <c r="C57" s="38"/>
      <c r="D57" s="3" t="s">
        <v>383</v>
      </c>
      <c r="E57" s="3" t="s">
        <v>781</v>
      </c>
    </row>
    <row r="58" spans="1:10" ht="69">
      <c r="A58" s="2" t="s">
        <v>425</v>
      </c>
      <c r="B58" s="3" t="s">
        <v>776</v>
      </c>
      <c r="C58" s="38"/>
      <c r="D58" s="3" t="s">
        <v>422</v>
      </c>
      <c r="E58" s="3" t="s">
        <v>782</v>
      </c>
    </row>
    <row r="59" spans="1:10" ht="27.6">
      <c r="A59" s="2" t="s">
        <v>425</v>
      </c>
      <c r="B59" s="3" t="s">
        <v>776</v>
      </c>
      <c r="C59" s="38"/>
      <c r="D59" s="3" t="s">
        <v>334</v>
      </c>
      <c r="E59" s="3" t="s">
        <v>783</v>
      </c>
    </row>
    <row r="60" spans="1:10" ht="82.8">
      <c r="A60" s="2" t="s">
        <v>425</v>
      </c>
      <c r="B60" s="3" t="s">
        <v>776</v>
      </c>
      <c r="D60" s="33" t="s">
        <v>387</v>
      </c>
      <c r="E60" s="33" t="s">
        <v>784</v>
      </c>
    </row>
    <row r="61" spans="1:10">
      <c r="A61" s="2" t="s">
        <v>430</v>
      </c>
      <c r="B61" s="3" t="s">
        <v>789</v>
      </c>
      <c r="C61" s="2" t="s">
        <v>46</v>
      </c>
      <c r="D61" s="3" t="s">
        <v>45</v>
      </c>
    </row>
    <row r="62" spans="1:10">
      <c r="A62" s="2" t="s">
        <v>430</v>
      </c>
      <c r="B62" s="3" t="s">
        <v>789</v>
      </c>
      <c r="C62" t="s">
        <v>790</v>
      </c>
      <c r="D62" t="s">
        <v>333</v>
      </c>
    </row>
    <row r="63" spans="1:10" ht="28.8">
      <c r="A63" s="2" t="s">
        <v>430</v>
      </c>
      <c r="B63" s="3" t="s">
        <v>789</v>
      </c>
      <c r="C63" s="2" t="s">
        <v>560</v>
      </c>
      <c r="D63" s="3" t="s">
        <v>561</v>
      </c>
    </row>
    <row r="64" spans="1:10" ht="28.8">
      <c r="A64" s="2" t="s">
        <v>430</v>
      </c>
      <c r="B64" s="3" t="s">
        <v>789</v>
      </c>
      <c r="C64" s="2" t="s">
        <v>48</v>
      </c>
      <c r="D64" s="3" t="s">
        <v>49</v>
      </c>
      <c r="E64" s="5" t="s">
        <v>780</v>
      </c>
    </row>
    <row r="65" spans="1:5" ht="82.8">
      <c r="A65" s="2" t="s">
        <v>430</v>
      </c>
      <c r="B65" s="3" t="s">
        <v>789</v>
      </c>
      <c r="C65" s="2" t="s">
        <v>791</v>
      </c>
      <c r="D65" s="3" t="s">
        <v>56</v>
      </c>
      <c r="E65" s="3" t="s">
        <v>793</v>
      </c>
    </row>
    <row r="66" spans="1:5" ht="69">
      <c r="A66" s="2" t="s">
        <v>430</v>
      </c>
      <c r="B66" s="3" t="s">
        <v>789</v>
      </c>
      <c r="C66" s="2" t="s">
        <v>792</v>
      </c>
      <c r="D66" s="3" t="s">
        <v>114</v>
      </c>
      <c r="E66" s="3" t="s">
        <v>794</v>
      </c>
    </row>
    <row r="67" spans="1:5" ht="55.2">
      <c r="A67" s="2" t="s">
        <v>430</v>
      </c>
      <c r="B67" s="3" t="s">
        <v>789</v>
      </c>
      <c r="C67" s="2" t="s">
        <v>796</v>
      </c>
      <c r="D67" s="3" t="s">
        <v>541</v>
      </c>
      <c r="E67" s="3" t="s">
        <v>795</v>
      </c>
    </row>
    <row r="68" spans="1:5" ht="409.6">
      <c r="A68" s="2" t="s">
        <v>430</v>
      </c>
      <c r="B68" s="3" t="s">
        <v>789</v>
      </c>
      <c r="C68" s="2" t="s">
        <v>797</v>
      </c>
      <c r="D68" s="3" t="s">
        <v>699</v>
      </c>
      <c r="E68" s="3" t="s">
        <v>700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9491-4F9B-48D9-B01E-4A4E77F5C60E}">
  <dimension ref="A1:N136"/>
  <sheetViews>
    <sheetView rightToLeft="1" zoomScale="75" zoomScaleNormal="75" workbookViewId="0">
      <pane ySplit="4" topLeftCell="A6" activePane="bottomLeft" state="frozen"/>
      <selection pane="bottomLeft" activeCell="D7" sqref="D7"/>
    </sheetView>
  </sheetViews>
  <sheetFormatPr defaultRowHeight="14.4"/>
  <cols>
    <col min="1" max="1" width="11.44140625" customWidth="1"/>
    <col min="2" max="2" width="25.33203125" style="38" customWidth="1"/>
    <col min="3" max="3" width="12.88671875" customWidth="1"/>
    <col min="4" max="4" width="52.5546875" style="5" customWidth="1"/>
    <col min="5" max="5" width="35.6640625" style="5" customWidth="1"/>
    <col min="6" max="6" width="29.5546875" style="5" customWidth="1"/>
    <col min="9" max="10" width="12.109375" customWidth="1"/>
    <col min="11" max="11" width="17.77734375" customWidth="1"/>
    <col min="12" max="12" width="12" customWidth="1"/>
    <col min="13" max="13" width="15.33203125" customWidth="1"/>
    <col min="14" max="14" width="40.6640625" customWidth="1"/>
  </cols>
  <sheetData>
    <row r="1" spans="1:14">
      <c r="C1" s="4" t="s">
        <v>58</v>
      </c>
    </row>
    <row r="2" spans="1:14">
      <c r="C2" s="28" t="s">
        <v>205</v>
      </c>
    </row>
    <row r="4" spans="1:14" ht="27.6">
      <c r="A4" s="9" t="s">
        <v>413</v>
      </c>
      <c r="B4" s="39" t="s">
        <v>6</v>
      </c>
      <c r="C4" s="9" t="s">
        <v>7</v>
      </c>
      <c r="D4" s="9" t="s">
        <v>471</v>
      </c>
      <c r="E4" s="9" t="s">
        <v>472</v>
      </c>
      <c r="F4" s="9" t="s">
        <v>475</v>
      </c>
      <c r="G4" s="9" t="s">
        <v>3</v>
      </c>
      <c r="H4" s="9" t="s">
        <v>4</v>
      </c>
      <c r="I4" s="9" t="s">
        <v>57</v>
      </c>
      <c r="J4" s="9" t="s">
        <v>659</v>
      </c>
      <c r="K4" s="9" t="s">
        <v>0</v>
      </c>
      <c r="L4" s="9" t="s">
        <v>156</v>
      </c>
      <c r="M4" s="9" t="s">
        <v>157</v>
      </c>
      <c r="N4" s="9" t="s">
        <v>105</v>
      </c>
    </row>
    <row r="5" spans="1:14" ht="110.4">
      <c r="A5" s="42" t="s">
        <v>415</v>
      </c>
      <c r="B5" s="47" t="s">
        <v>417</v>
      </c>
      <c r="C5" s="46" t="s">
        <v>416</v>
      </c>
      <c r="D5" s="50" t="s">
        <v>511</v>
      </c>
      <c r="E5" s="43"/>
      <c r="F5" s="43"/>
      <c r="G5" s="42">
        <v>0.7</v>
      </c>
      <c r="H5" s="42">
        <v>10</v>
      </c>
      <c r="I5" s="43" t="s">
        <v>9</v>
      </c>
      <c r="J5" s="43"/>
      <c r="K5" s="43" t="s">
        <v>8</v>
      </c>
      <c r="L5" s="42">
        <v>20</v>
      </c>
      <c r="M5" s="42" t="s">
        <v>158</v>
      </c>
      <c r="N5" s="44" t="s">
        <v>219</v>
      </c>
    </row>
    <row r="6" spans="1:14" ht="55.2">
      <c r="A6" s="2" t="s">
        <v>426</v>
      </c>
      <c r="B6" s="49" t="s">
        <v>432</v>
      </c>
      <c r="C6" s="3" t="s">
        <v>414</v>
      </c>
      <c r="D6" s="3" t="s">
        <v>512</v>
      </c>
      <c r="E6" s="33"/>
      <c r="F6" s="3" t="s">
        <v>474</v>
      </c>
      <c r="G6" s="2">
        <v>0.6</v>
      </c>
      <c r="H6" s="2">
        <v>7</v>
      </c>
      <c r="I6" s="3" t="s">
        <v>8</v>
      </c>
      <c r="J6" s="3" t="s">
        <v>649</v>
      </c>
      <c r="K6" s="3"/>
      <c r="L6" s="2"/>
      <c r="M6" s="2"/>
      <c r="N6" s="21"/>
    </row>
    <row r="7" spans="1:14" ht="317.39999999999998">
      <c r="A7" s="2" t="s">
        <v>691</v>
      </c>
      <c r="B7" s="40"/>
      <c r="C7" s="3" t="s">
        <v>436</v>
      </c>
      <c r="D7" s="3" t="s">
        <v>513</v>
      </c>
      <c r="E7" s="3" t="s">
        <v>473</v>
      </c>
      <c r="F7" s="3"/>
      <c r="G7" s="2">
        <v>0.7</v>
      </c>
      <c r="H7" s="2">
        <v>9</v>
      </c>
      <c r="I7" s="3" t="s">
        <v>9</v>
      </c>
      <c r="J7" s="3" t="s">
        <v>649</v>
      </c>
      <c r="K7" s="3"/>
      <c r="L7" s="2"/>
      <c r="M7" s="2" t="s">
        <v>437</v>
      </c>
      <c r="N7" s="21"/>
    </row>
    <row r="8" spans="1:14" ht="220.8">
      <c r="A8" s="2" t="s">
        <v>425</v>
      </c>
      <c r="B8" s="2" t="s">
        <v>431</v>
      </c>
      <c r="C8" s="3" t="s">
        <v>545</v>
      </c>
      <c r="D8" s="3" t="s">
        <v>546</v>
      </c>
      <c r="E8" s="33" t="s">
        <v>548</v>
      </c>
      <c r="F8" s="3"/>
      <c r="G8" s="2">
        <v>0.6</v>
      </c>
      <c r="H8" s="2">
        <v>7</v>
      </c>
      <c r="I8" s="3" t="s">
        <v>8</v>
      </c>
      <c r="J8" s="3" t="s">
        <v>649</v>
      </c>
      <c r="K8" s="3" t="s">
        <v>8</v>
      </c>
      <c r="M8" s="2" t="s">
        <v>159</v>
      </c>
    </row>
    <row r="9" spans="1:14" ht="151.80000000000001">
      <c r="A9" s="2" t="s">
        <v>425</v>
      </c>
      <c r="B9" s="2" t="s">
        <v>544</v>
      </c>
      <c r="C9" s="2" t="s">
        <v>543</v>
      </c>
      <c r="D9" s="3" t="s">
        <v>547</v>
      </c>
      <c r="E9" s="33" t="s">
        <v>549</v>
      </c>
      <c r="F9" s="3"/>
      <c r="G9" s="2">
        <v>0.5</v>
      </c>
      <c r="H9" s="2">
        <v>5</v>
      </c>
      <c r="I9" s="3"/>
      <c r="J9" s="3" t="s">
        <v>649</v>
      </c>
      <c r="K9" s="3"/>
      <c r="M9" s="2"/>
    </row>
    <row r="10" spans="1:14" ht="96.6">
      <c r="A10" s="2" t="s">
        <v>690</v>
      </c>
      <c r="B10" s="2" t="s">
        <v>30</v>
      </c>
      <c r="C10" s="3" t="s">
        <v>29</v>
      </c>
      <c r="D10" s="3" t="s">
        <v>484</v>
      </c>
      <c r="E10" s="33"/>
      <c r="F10" s="33" t="s">
        <v>485</v>
      </c>
      <c r="G10" s="2">
        <v>0.7</v>
      </c>
      <c r="H10" s="2">
        <v>9</v>
      </c>
      <c r="I10" s="3" t="s">
        <v>8</v>
      </c>
      <c r="J10" s="3"/>
      <c r="K10" s="3" t="s">
        <v>8</v>
      </c>
      <c r="M10" s="2"/>
    </row>
    <row r="11" spans="1:14" ht="138">
      <c r="A11" s="2" t="s">
        <v>425</v>
      </c>
      <c r="B11" s="52" t="s">
        <v>550</v>
      </c>
      <c r="C11" s="3" t="s">
        <v>551</v>
      </c>
      <c r="D11" s="3" t="s">
        <v>552</v>
      </c>
      <c r="E11" s="33" t="s">
        <v>555</v>
      </c>
      <c r="F11" s="33" t="s">
        <v>556</v>
      </c>
      <c r="G11" s="2">
        <v>0.5</v>
      </c>
      <c r="H11" s="2">
        <v>8</v>
      </c>
      <c r="I11" s="3"/>
      <c r="J11" s="3"/>
      <c r="K11" s="3"/>
      <c r="M11" s="2"/>
    </row>
    <row r="12" spans="1:14" ht="207">
      <c r="A12" s="2" t="s">
        <v>425</v>
      </c>
      <c r="B12" t="s">
        <v>557</v>
      </c>
      <c r="C12" s="3" t="s">
        <v>384</v>
      </c>
      <c r="D12" s="3" t="s">
        <v>553</v>
      </c>
      <c r="E12" s="33" t="s">
        <v>554</v>
      </c>
      <c r="F12" s="33"/>
      <c r="G12" s="2">
        <v>0.4</v>
      </c>
      <c r="H12" s="2">
        <v>6</v>
      </c>
      <c r="I12" s="3" t="s">
        <v>9</v>
      </c>
      <c r="J12" s="3"/>
    </row>
    <row r="13" spans="1:14" ht="138">
      <c r="A13" s="2" t="s">
        <v>692</v>
      </c>
      <c r="B13" s="2" t="s">
        <v>44</v>
      </c>
      <c r="C13" s="3" t="s">
        <v>350</v>
      </c>
      <c r="D13" s="3" t="s">
        <v>536</v>
      </c>
      <c r="E13" s="33"/>
      <c r="F13" s="3" t="s">
        <v>508</v>
      </c>
      <c r="G13" s="2">
        <v>0.6</v>
      </c>
      <c r="H13" s="2">
        <v>7</v>
      </c>
      <c r="I13" s="3" t="s">
        <v>9</v>
      </c>
      <c r="J13" s="3" t="s">
        <v>649</v>
      </c>
      <c r="K13" s="2"/>
      <c r="M13" s="2" t="s">
        <v>339</v>
      </c>
      <c r="N13" t="s">
        <v>13</v>
      </c>
    </row>
    <row r="14" spans="1:14" ht="110.4">
      <c r="A14" s="2" t="s">
        <v>415</v>
      </c>
      <c r="B14" s="40"/>
      <c r="C14" s="3" t="s">
        <v>435</v>
      </c>
      <c r="D14" s="3" t="s">
        <v>537</v>
      </c>
      <c r="E14" s="33"/>
      <c r="F14" s="33"/>
      <c r="G14" s="2"/>
      <c r="H14" s="2"/>
      <c r="I14" s="3"/>
      <c r="J14" s="3" t="s">
        <v>649</v>
      </c>
      <c r="K14" s="3"/>
      <c r="M14" s="2"/>
    </row>
    <row r="15" spans="1:14" ht="138">
      <c r="A15" s="2" t="s">
        <v>426</v>
      </c>
      <c r="B15" s="2" t="s">
        <v>11</v>
      </c>
      <c r="C15" s="3" t="s">
        <v>12</v>
      </c>
      <c r="D15" s="3" t="s">
        <v>514</v>
      </c>
      <c r="E15" s="45"/>
      <c r="F15" s="33" t="s">
        <v>476</v>
      </c>
      <c r="G15" s="2">
        <v>0.7</v>
      </c>
      <c r="H15" s="2">
        <v>8</v>
      </c>
      <c r="I15" s="3" t="s">
        <v>8</v>
      </c>
      <c r="J15" s="3" t="s">
        <v>649</v>
      </c>
      <c r="K15" s="3" t="s">
        <v>8</v>
      </c>
      <c r="M15" s="2" t="s">
        <v>160</v>
      </c>
    </row>
    <row r="16" spans="1:14" ht="193.2">
      <c r="A16" s="2" t="s">
        <v>693</v>
      </c>
      <c r="B16" s="2" t="s">
        <v>40</v>
      </c>
      <c r="C16" s="3" t="s">
        <v>41</v>
      </c>
      <c r="D16" s="33" t="s">
        <v>492</v>
      </c>
      <c r="E16" s="33" t="s">
        <v>518</v>
      </c>
      <c r="F16" s="33" t="s">
        <v>493</v>
      </c>
      <c r="G16" s="2">
        <v>0.6</v>
      </c>
      <c r="H16" s="2">
        <v>6</v>
      </c>
      <c r="I16" s="3" t="s">
        <v>14</v>
      </c>
      <c r="J16" s="3" t="s">
        <v>649</v>
      </c>
      <c r="K16" s="2"/>
      <c r="M16" s="2"/>
    </row>
    <row r="17" spans="1:14" ht="110.4">
      <c r="A17" s="2" t="s">
        <v>427</v>
      </c>
      <c r="B17" s="2" t="s">
        <v>420</v>
      </c>
      <c r="C17" s="3" t="s">
        <v>17</v>
      </c>
      <c r="D17" s="3" t="s">
        <v>515</v>
      </c>
      <c r="E17" s="33" t="s">
        <v>516</v>
      </c>
      <c r="F17" s="33" t="s">
        <v>483</v>
      </c>
      <c r="G17" s="2">
        <v>0.5</v>
      </c>
      <c r="H17" s="2">
        <v>5</v>
      </c>
      <c r="I17" s="3" t="s">
        <v>8</v>
      </c>
      <c r="J17" s="3" t="s">
        <v>649</v>
      </c>
      <c r="K17" s="3" t="s">
        <v>8</v>
      </c>
      <c r="M17" s="2"/>
    </row>
    <row r="18" spans="1:14" ht="165.6">
      <c r="A18" s="2" t="s">
        <v>429</v>
      </c>
      <c r="B18" s="2" t="s">
        <v>27</v>
      </c>
      <c r="C18" s="3" t="s">
        <v>28</v>
      </c>
      <c r="D18" s="3" t="s">
        <v>565</v>
      </c>
      <c r="E18" s="33"/>
      <c r="F18" s="3"/>
      <c r="G18" s="2">
        <v>0.7</v>
      </c>
      <c r="H18" s="2">
        <v>6</v>
      </c>
      <c r="I18" s="3" t="s">
        <v>8</v>
      </c>
      <c r="J18" s="3" t="s">
        <v>649</v>
      </c>
      <c r="K18" s="3" t="s">
        <v>8</v>
      </c>
      <c r="M18" s="2" t="s">
        <v>159</v>
      </c>
      <c r="N18" s="5" t="s">
        <v>340</v>
      </c>
    </row>
    <row r="19" spans="1:14">
      <c r="A19" s="2" t="s">
        <v>426</v>
      </c>
      <c r="B19" s="2" t="s">
        <v>563</v>
      </c>
      <c r="C19" s="3" t="s">
        <v>57</v>
      </c>
      <c r="D19" s="3" t="s">
        <v>564</v>
      </c>
      <c r="E19" s="33"/>
      <c r="F19" s="3"/>
      <c r="G19" s="2">
        <v>0.5</v>
      </c>
      <c r="H19" s="2">
        <v>6</v>
      </c>
      <c r="I19" s="3"/>
      <c r="J19" s="3" t="s">
        <v>649</v>
      </c>
      <c r="K19" s="3"/>
      <c r="M19" s="2"/>
      <c r="N19" s="5"/>
    </row>
    <row r="20" spans="1:14" ht="110.4">
      <c r="A20" s="2" t="s">
        <v>427</v>
      </c>
      <c r="B20" s="2" t="s">
        <v>559</v>
      </c>
      <c r="C20" s="3" t="s">
        <v>558</v>
      </c>
      <c r="D20" s="3" t="s">
        <v>517</v>
      </c>
      <c r="E20" s="33" t="s">
        <v>480</v>
      </c>
      <c r="F20" s="3" t="s">
        <v>477</v>
      </c>
      <c r="G20" s="2">
        <v>0.6</v>
      </c>
      <c r="H20" s="2">
        <v>6</v>
      </c>
      <c r="I20" s="3" t="s">
        <v>14</v>
      </c>
      <c r="J20" s="3" t="s">
        <v>649</v>
      </c>
      <c r="K20" s="3" t="s">
        <v>8</v>
      </c>
      <c r="M20" s="2" t="s">
        <v>159</v>
      </c>
    </row>
    <row r="21" spans="1:14" ht="41.4">
      <c r="A21" s="2" t="s">
        <v>427</v>
      </c>
      <c r="B21" s="2" t="s">
        <v>560</v>
      </c>
      <c r="C21" s="3" t="s">
        <v>561</v>
      </c>
      <c r="D21" s="33" t="s">
        <v>562</v>
      </c>
      <c r="E21" s="33"/>
      <c r="F21" s="33"/>
      <c r="G21" s="2"/>
      <c r="H21" s="2"/>
      <c r="I21" s="3"/>
      <c r="J21" s="3" t="s">
        <v>649</v>
      </c>
      <c r="K21" s="2"/>
      <c r="M21" s="2"/>
    </row>
    <row r="22" spans="1:14" ht="248.4">
      <c r="A22" s="2" t="s">
        <v>694</v>
      </c>
      <c r="B22" s="49" t="s">
        <v>42</v>
      </c>
      <c r="C22" s="3" t="s">
        <v>43</v>
      </c>
      <c r="D22" s="3" t="s">
        <v>538</v>
      </c>
      <c r="E22" s="33"/>
      <c r="F22" s="33" t="s">
        <v>494</v>
      </c>
      <c r="G22" s="2">
        <v>0.6</v>
      </c>
      <c r="H22" s="2">
        <v>7</v>
      </c>
      <c r="I22" s="3" t="s">
        <v>8</v>
      </c>
      <c r="J22" s="3"/>
      <c r="K22" s="2"/>
      <c r="M22" s="2"/>
    </row>
    <row r="23" spans="1:14" ht="207">
      <c r="A23" s="2" t="s">
        <v>693</v>
      </c>
      <c r="B23" s="2" t="s">
        <v>696</v>
      </c>
      <c r="C23" s="3" t="s">
        <v>697</v>
      </c>
      <c r="D23" s="3" t="s">
        <v>698</v>
      </c>
      <c r="E23" s="33" t="s">
        <v>481</v>
      </c>
      <c r="F23" s="33" t="s">
        <v>482</v>
      </c>
      <c r="G23" s="2">
        <v>0.4</v>
      </c>
      <c r="H23" s="2">
        <v>2</v>
      </c>
      <c r="I23" s="3" t="s">
        <v>8</v>
      </c>
      <c r="J23" s="3" t="s">
        <v>649</v>
      </c>
      <c r="K23" s="3" t="s">
        <v>8</v>
      </c>
      <c r="M23" s="2"/>
    </row>
    <row r="24" spans="1:14" ht="82.8">
      <c r="A24" s="2" t="s">
        <v>415</v>
      </c>
      <c r="B24" s="2" t="s">
        <v>23</v>
      </c>
      <c r="C24" s="3" t="s">
        <v>24</v>
      </c>
      <c r="D24" s="3" t="s">
        <v>519</v>
      </c>
      <c r="E24" s="33"/>
      <c r="F24" s="33"/>
      <c r="G24" s="2">
        <v>0.5</v>
      </c>
      <c r="H24" s="2">
        <v>3</v>
      </c>
      <c r="I24" s="3" t="s">
        <v>8</v>
      </c>
      <c r="J24" s="3"/>
      <c r="K24" s="3" t="s">
        <v>8</v>
      </c>
      <c r="M24" s="2"/>
    </row>
    <row r="25" spans="1:14">
      <c r="A25" s="2" t="s">
        <v>693</v>
      </c>
      <c r="B25" s="2" t="s">
        <v>717</v>
      </c>
      <c r="C25" s="3" t="s">
        <v>643</v>
      </c>
      <c r="D25" s="3" t="s">
        <v>695</v>
      </c>
      <c r="E25" s="33"/>
      <c r="F25" s="33"/>
      <c r="G25" s="2">
        <v>0.6</v>
      </c>
      <c r="H25" s="2">
        <v>5</v>
      </c>
      <c r="I25" s="3" t="s">
        <v>8</v>
      </c>
      <c r="J25" s="3" t="s">
        <v>649</v>
      </c>
      <c r="K25" s="3" t="s">
        <v>8</v>
      </c>
      <c r="M25" s="2"/>
    </row>
    <row r="26" spans="1:14" ht="193.2">
      <c r="A26" s="2" t="s">
        <v>428</v>
      </c>
      <c r="B26" s="2" t="s">
        <v>31</v>
      </c>
      <c r="C26" s="3" t="s">
        <v>32</v>
      </c>
      <c r="D26" s="3" t="s">
        <v>486</v>
      </c>
      <c r="E26" s="33" t="s">
        <v>487</v>
      </c>
      <c r="F26" s="33"/>
      <c r="G26" s="2">
        <v>0.5</v>
      </c>
      <c r="H26" s="2">
        <v>4</v>
      </c>
      <c r="I26" s="3" t="s">
        <v>8</v>
      </c>
      <c r="J26" s="3"/>
      <c r="K26" s="3" t="s">
        <v>8</v>
      </c>
      <c r="M26" s="2"/>
      <c r="N26" t="s">
        <v>338</v>
      </c>
    </row>
    <row r="27" spans="1:14" ht="55.2">
      <c r="A27" s="2" t="s">
        <v>429</v>
      </c>
      <c r="C27" s="3" t="s">
        <v>567</v>
      </c>
      <c r="D27" s="3" t="s">
        <v>571</v>
      </c>
      <c r="E27" s="33" t="s">
        <v>569</v>
      </c>
      <c r="F27" s="33"/>
      <c r="G27" s="2">
        <v>0.4</v>
      </c>
      <c r="H27" s="2">
        <v>3</v>
      </c>
      <c r="I27" s="3" t="s">
        <v>9</v>
      </c>
      <c r="J27" s="3"/>
    </row>
    <row r="28" spans="1:14" ht="55.2">
      <c r="A28" s="2" t="s">
        <v>429</v>
      </c>
      <c r="C28" s="3" t="s">
        <v>568</v>
      </c>
      <c r="D28" s="3" t="s">
        <v>570</v>
      </c>
      <c r="E28" s="33" t="s">
        <v>572</v>
      </c>
      <c r="F28" s="33"/>
      <c r="G28" s="2">
        <v>0.4</v>
      </c>
      <c r="H28" s="2">
        <v>3</v>
      </c>
      <c r="I28" s="3"/>
      <c r="J28" s="3"/>
    </row>
    <row r="29" spans="1:14" ht="124.2">
      <c r="A29" s="2" t="s">
        <v>429</v>
      </c>
      <c r="B29" s="49" t="s">
        <v>774</v>
      </c>
      <c r="C29" s="3" t="s">
        <v>35</v>
      </c>
      <c r="D29" s="33" t="s">
        <v>523</v>
      </c>
      <c r="E29" s="33"/>
      <c r="F29" s="33"/>
      <c r="G29" s="2">
        <v>0.6</v>
      </c>
      <c r="H29" s="2">
        <v>4</v>
      </c>
      <c r="I29" s="3" t="s">
        <v>14</v>
      </c>
      <c r="J29" s="3" t="s">
        <v>649</v>
      </c>
      <c r="K29" s="2"/>
      <c r="M29" s="2"/>
    </row>
    <row r="30" spans="1:14" ht="82.8">
      <c r="A30" s="2" t="s">
        <v>426</v>
      </c>
      <c r="B30" s="2" t="s">
        <v>36</v>
      </c>
      <c r="C30" s="3" t="s">
        <v>37</v>
      </c>
      <c r="D30" s="3" t="s">
        <v>521</v>
      </c>
      <c r="E30" s="33"/>
      <c r="F30" s="33" t="s">
        <v>489</v>
      </c>
      <c r="G30" s="2">
        <v>0.4</v>
      </c>
      <c r="H30" s="2">
        <v>3</v>
      </c>
      <c r="I30" s="3" t="s">
        <v>8</v>
      </c>
      <c r="J30" s="3"/>
      <c r="K30" s="2"/>
      <c r="M30" s="2"/>
    </row>
    <row r="31" spans="1:14" ht="138">
      <c r="A31" s="2" t="s">
        <v>426</v>
      </c>
      <c r="B31" s="2" t="s">
        <v>38</v>
      </c>
      <c r="C31" s="3" t="s">
        <v>39</v>
      </c>
      <c r="D31" s="3" t="s">
        <v>524</v>
      </c>
      <c r="E31" s="33" t="s">
        <v>490</v>
      </c>
      <c r="F31" s="33" t="s">
        <v>491</v>
      </c>
      <c r="G31" s="2">
        <v>0.4</v>
      </c>
      <c r="H31" s="2">
        <v>3</v>
      </c>
      <c r="I31" s="3" t="s">
        <v>14</v>
      </c>
      <c r="J31" s="3"/>
      <c r="K31" s="2"/>
      <c r="M31" s="2"/>
    </row>
    <row r="32" spans="1:14" ht="151.80000000000001">
      <c r="A32" s="2" t="s">
        <v>425</v>
      </c>
      <c r="B32" s="2" t="s">
        <v>16</v>
      </c>
      <c r="C32" s="3" t="s">
        <v>419</v>
      </c>
      <c r="D32" s="3" t="s">
        <v>525</v>
      </c>
      <c r="E32" s="33" t="s">
        <v>479</v>
      </c>
      <c r="F32" s="45" t="s">
        <v>478</v>
      </c>
      <c r="G32" s="2">
        <v>0.4</v>
      </c>
      <c r="H32" s="2">
        <v>4</v>
      </c>
      <c r="I32" s="3" t="s">
        <v>8</v>
      </c>
      <c r="J32" s="3"/>
      <c r="K32" s="3" t="s">
        <v>8</v>
      </c>
      <c r="M32" s="2" t="s">
        <v>159</v>
      </c>
    </row>
    <row r="33" spans="1:14" ht="262.2">
      <c r="A33" s="2" t="s">
        <v>427</v>
      </c>
      <c r="B33" s="2" t="s">
        <v>46</v>
      </c>
      <c r="C33" s="3" t="s">
        <v>45</v>
      </c>
      <c r="D33" s="3" t="s">
        <v>526</v>
      </c>
      <c r="E33" s="3"/>
      <c r="F33" s="3"/>
      <c r="G33" s="2">
        <v>0.6</v>
      </c>
      <c r="H33" s="2">
        <v>5</v>
      </c>
      <c r="I33" s="3" t="s">
        <v>14</v>
      </c>
      <c r="J33" s="3"/>
      <c r="K33" s="2"/>
      <c r="M33" s="2"/>
    </row>
    <row r="34" spans="1:14" ht="193.2">
      <c r="A34" s="2" t="s">
        <v>427</v>
      </c>
      <c r="C34" s="3" t="s">
        <v>333</v>
      </c>
      <c r="D34" s="3" t="s">
        <v>527</v>
      </c>
      <c r="E34" s="3"/>
      <c r="F34" s="3"/>
      <c r="G34" s="2">
        <v>0.2</v>
      </c>
      <c r="H34" s="2">
        <v>2</v>
      </c>
      <c r="I34" s="3" t="s">
        <v>14</v>
      </c>
      <c r="J34" s="3"/>
    </row>
    <row r="35" spans="1:14" ht="207">
      <c r="A35" s="2" t="s">
        <v>429</v>
      </c>
      <c r="C35" s="33" t="s">
        <v>336</v>
      </c>
      <c r="D35" s="3" t="s">
        <v>539</v>
      </c>
      <c r="E35" s="33"/>
      <c r="F35" s="33" t="s">
        <v>498</v>
      </c>
      <c r="G35" s="2">
        <v>0.5</v>
      </c>
      <c r="H35" s="2">
        <v>4</v>
      </c>
      <c r="I35" s="3" t="s">
        <v>8</v>
      </c>
      <c r="J35" s="3"/>
    </row>
    <row r="36" spans="1:14" ht="207">
      <c r="A36" s="2" t="s">
        <v>426</v>
      </c>
      <c r="B36" s="2" t="s">
        <v>48</v>
      </c>
      <c r="C36" s="3" t="s">
        <v>49</v>
      </c>
      <c r="D36" s="3" t="s">
        <v>529</v>
      </c>
      <c r="E36" s="33"/>
      <c r="F36" s="33"/>
      <c r="G36" s="2">
        <v>0.2</v>
      </c>
      <c r="H36" s="2"/>
      <c r="I36" s="3" t="s">
        <v>9</v>
      </c>
      <c r="J36" s="3"/>
      <c r="K36" s="3" t="s">
        <v>47</v>
      </c>
      <c r="M36" s="2"/>
    </row>
    <row r="37" spans="1:14" ht="124.2">
      <c r="A37" s="2" t="s">
        <v>425</v>
      </c>
      <c r="C37" s="3" t="s">
        <v>383</v>
      </c>
      <c r="D37" s="3" t="s">
        <v>530</v>
      </c>
      <c r="E37" s="33" t="s">
        <v>499</v>
      </c>
      <c r="F37" s="33"/>
      <c r="G37" s="2">
        <v>0.2</v>
      </c>
      <c r="H37" s="2">
        <v>4</v>
      </c>
      <c r="I37" s="3" t="s">
        <v>9</v>
      </c>
      <c r="J37" s="3"/>
    </row>
    <row r="38" spans="1:14" ht="151.80000000000001">
      <c r="A38" s="2" t="s">
        <v>425</v>
      </c>
      <c r="C38" s="3" t="s">
        <v>422</v>
      </c>
      <c r="D38" s="3" t="s">
        <v>531</v>
      </c>
      <c r="E38" s="33" t="s">
        <v>503</v>
      </c>
      <c r="F38" s="33"/>
      <c r="G38" s="2">
        <v>0.2</v>
      </c>
      <c r="H38" s="2">
        <v>4</v>
      </c>
      <c r="I38" s="3" t="s">
        <v>9</v>
      </c>
      <c r="J38" s="3"/>
    </row>
    <row r="39" spans="1:14" ht="165.6">
      <c r="A39" s="2" t="s">
        <v>425</v>
      </c>
      <c r="C39" s="3" t="s">
        <v>334</v>
      </c>
      <c r="D39" s="3" t="s">
        <v>532</v>
      </c>
      <c r="E39" s="33" t="s">
        <v>504</v>
      </c>
      <c r="F39" s="3"/>
      <c r="G39" s="2">
        <v>0.2</v>
      </c>
      <c r="H39" s="2">
        <v>3</v>
      </c>
      <c r="I39" s="3" t="s">
        <v>8</v>
      </c>
      <c r="J39" s="3"/>
    </row>
    <row r="40" spans="1:14" ht="179.4">
      <c r="A40" s="41" t="s">
        <v>425</v>
      </c>
      <c r="B40" s="51"/>
      <c r="C40" s="33" t="s">
        <v>387</v>
      </c>
      <c r="D40" s="33" t="s">
        <v>533</v>
      </c>
      <c r="E40" s="33" t="s">
        <v>505</v>
      </c>
      <c r="F40" s="3"/>
      <c r="G40" s="2">
        <v>0.2</v>
      </c>
      <c r="H40" s="2">
        <v>3</v>
      </c>
      <c r="I40" s="3" t="s">
        <v>9</v>
      </c>
      <c r="J40" s="3"/>
    </row>
    <row r="41" spans="1:14" ht="248.4">
      <c r="A41" s="2" t="s">
        <v>426</v>
      </c>
      <c r="B41" s="2" t="s">
        <v>55</v>
      </c>
      <c r="C41" s="17" t="s">
        <v>56</v>
      </c>
      <c r="D41" s="3" t="s">
        <v>534</v>
      </c>
      <c r="E41" s="33" t="s">
        <v>507</v>
      </c>
      <c r="F41" s="3" t="s">
        <v>506</v>
      </c>
      <c r="G41" s="2">
        <v>0.4</v>
      </c>
      <c r="H41" s="2"/>
      <c r="I41" s="3" t="s">
        <v>9</v>
      </c>
      <c r="J41" s="3"/>
      <c r="K41" s="3" t="s">
        <v>47</v>
      </c>
      <c r="M41" s="2"/>
    </row>
    <row r="42" spans="1:14" ht="110.4">
      <c r="A42" s="2" t="s">
        <v>430</v>
      </c>
      <c r="B42" s="2" t="s">
        <v>115</v>
      </c>
      <c r="C42" s="17" t="s">
        <v>114</v>
      </c>
      <c r="D42" s="3" t="s">
        <v>535</v>
      </c>
      <c r="E42" s="33" t="s">
        <v>573</v>
      </c>
      <c r="F42" s="33" t="s">
        <v>509</v>
      </c>
      <c r="G42">
        <v>0.4</v>
      </c>
      <c r="H42" s="2"/>
      <c r="I42" s="3" t="s">
        <v>9</v>
      </c>
      <c r="J42" s="3"/>
      <c r="K42" s="3" t="s">
        <v>47</v>
      </c>
    </row>
    <row r="43" spans="1:14" ht="138">
      <c r="A43" s="2" t="s">
        <v>430</v>
      </c>
      <c r="B43" s="2" t="s">
        <v>270</v>
      </c>
      <c r="C43" s="17" t="s">
        <v>541</v>
      </c>
      <c r="D43" s="3" t="s">
        <v>540</v>
      </c>
      <c r="E43" s="3"/>
      <c r="F43" s="33" t="s">
        <v>542</v>
      </c>
      <c r="G43" s="2">
        <v>0.4</v>
      </c>
      <c r="I43" s="3" t="s">
        <v>9</v>
      </c>
      <c r="J43" s="3" t="s">
        <v>649</v>
      </c>
      <c r="K43" s="3" t="s">
        <v>271</v>
      </c>
      <c r="M43" s="19"/>
      <c r="N43" s="3" t="s">
        <v>337</v>
      </c>
    </row>
    <row r="44" spans="1:14" ht="409.6">
      <c r="A44" s="2" t="s">
        <v>430</v>
      </c>
      <c r="B44" s="40" t="s">
        <v>269</v>
      </c>
      <c r="C44" s="17" t="s">
        <v>699</v>
      </c>
      <c r="D44" s="3" t="s">
        <v>700</v>
      </c>
      <c r="E44" s="3"/>
      <c r="F44" s="33" t="s">
        <v>510</v>
      </c>
      <c r="G44" s="2">
        <v>0.1</v>
      </c>
      <c r="H44" s="2"/>
      <c r="I44" s="3" t="s">
        <v>9</v>
      </c>
      <c r="J44" s="3" t="s">
        <v>649</v>
      </c>
      <c r="K44" s="3" t="s">
        <v>272</v>
      </c>
      <c r="N44" s="34"/>
    </row>
    <row r="45" spans="1:14">
      <c r="A45" s="2" t="s">
        <v>428</v>
      </c>
      <c r="C45" s="3" t="s">
        <v>701</v>
      </c>
      <c r="G45" s="2"/>
      <c r="K45" s="3"/>
    </row>
    <row r="46" spans="1:14">
      <c r="A46" s="2" t="s">
        <v>428</v>
      </c>
      <c r="C46" s="3" t="s">
        <v>702</v>
      </c>
    </row>
    <row r="47" spans="1:14">
      <c r="A47" s="2" t="s">
        <v>428</v>
      </c>
      <c r="C47" s="17" t="s">
        <v>22</v>
      </c>
    </row>
    <row r="48" spans="1:14">
      <c r="A48" s="2" t="s">
        <v>428</v>
      </c>
      <c r="C48" s="3" t="s">
        <v>703</v>
      </c>
    </row>
    <row r="49" spans="1:3">
      <c r="A49" s="2" t="s">
        <v>428</v>
      </c>
      <c r="C49" s="3" t="s">
        <v>704</v>
      </c>
    </row>
    <row r="50" spans="1:3">
      <c r="A50" s="2" t="s">
        <v>428</v>
      </c>
      <c r="C50" s="3" t="s">
        <v>54</v>
      </c>
    </row>
    <row r="51" spans="1:3" ht="28.8">
      <c r="A51" s="2" t="s">
        <v>415</v>
      </c>
      <c r="C51" s="3" t="s">
        <v>639</v>
      </c>
    </row>
    <row r="52" spans="1:3">
      <c r="A52" s="2" t="s">
        <v>428</v>
      </c>
      <c r="C52" s="3" t="s">
        <v>640</v>
      </c>
    </row>
    <row r="53" spans="1:3">
      <c r="A53" s="2" t="s">
        <v>428</v>
      </c>
      <c r="C53" s="3" t="s">
        <v>641</v>
      </c>
    </row>
    <row r="54" spans="1:3">
      <c r="A54" s="2" t="s">
        <v>428</v>
      </c>
      <c r="C54" s="3" t="s">
        <v>713</v>
      </c>
    </row>
    <row r="55" spans="1:3">
      <c r="A55" s="2" t="s">
        <v>693</v>
      </c>
      <c r="B55" t="s">
        <v>716</v>
      </c>
      <c r="C55" s="3" t="s">
        <v>644</v>
      </c>
    </row>
    <row r="56" spans="1:3" ht="28.8">
      <c r="A56" s="2" t="s">
        <v>714</v>
      </c>
      <c r="B56" t="s">
        <v>664</v>
      </c>
      <c r="C56" s="3" t="s">
        <v>705</v>
      </c>
    </row>
    <row r="57" spans="1:3">
      <c r="A57" s="2" t="s">
        <v>428</v>
      </c>
      <c r="B57" t="s">
        <v>665</v>
      </c>
      <c r="C57" s="3" t="s">
        <v>706</v>
      </c>
    </row>
    <row r="58" spans="1:3">
      <c r="A58" s="2" t="s">
        <v>428</v>
      </c>
      <c r="B58" t="s">
        <v>666</v>
      </c>
      <c r="C58" s="3" t="s">
        <v>707</v>
      </c>
    </row>
    <row r="59" spans="1:3">
      <c r="A59" s="2" t="s">
        <v>428</v>
      </c>
      <c r="B59" t="s">
        <v>671</v>
      </c>
      <c r="C59" s="3" t="s">
        <v>708</v>
      </c>
    </row>
    <row r="60" spans="1:3" ht="28.8">
      <c r="A60" s="2" t="s">
        <v>715</v>
      </c>
      <c r="B60" t="s">
        <v>678</v>
      </c>
      <c r="C60" s="3" t="s">
        <v>709</v>
      </c>
    </row>
    <row r="61" spans="1:3">
      <c r="B61" t="s">
        <v>679</v>
      </c>
      <c r="C61" s="3" t="s">
        <v>710</v>
      </c>
    </row>
    <row r="62" spans="1:3" ht="28.8">
      <c r="A62" s="2" t="s">
        <v>415</v>
      </c>
      <c r="B62" t="s">
        <v>683</v>
      </c>
      <c r="C62" s="3" t="s">
        <v>711</v>
      </c>
    </row>
    <row r="63" spans="1:3">
      <c r="A63" s="2" t="s">
        <v>428</v>
      </c>
      <c r="B63" t="s">
        <v>685</v>
      </c>
      <c r="C63" t="s">
        <v>712</v>
      </c>
    </row>
    <row r="64" spans="1:3">
      <c r="A64" s="2" t="s">
        <v>693</v>
      </c>
      <c r="B64" s="38" t="s">
        <v>718</v>
      </c>
      <c r="C64" s="3" t="s">
        <v>719</v>
      </c>
    </row>
    <row r="65" spans="1:4">
      <c r="A65" s="2" t="s">
        <v>693</v>
      </c>
      <c r="B65" s="38" t="s">
        <v>720</v>
      </c>
      <c r="C65" s="3" t="s">
        <v>721</v>
      </c>
    </row>
    <row r="66" spans="1:4">
      <c r="A66" s="2" t="s">
        <v>722</v>
      </c>
      <c r="B66" s="56" t="s">
        <v>723</v>
      </c>
      <c r="C66" s="2" t="s">
        <v>724</v>
      </c>
      <c r="D66" s="56" t="s">
        <v>731</v>
      </c>
    </row>
    <row r="67" spans="1:4">
      <c r="A67" s="2" t="s">
        <v>722</v>
      </c>
      <c r="B67" s="56" t="s">
        <v>725</v>
      </c>
      <c r="C67" s="2" t="s">
        <v>726</v>
      </c>
      <c r="D67" s="56" t="s">
        <v>730</v>
      </c>
    </row>
    <row r="68" spans="1:4">
      <c r="A68" s="2" t="s">
        <v>722</v>
      </c>
      <c r="B68" s="56" t="s">
        <v>727</v>
      </c>
      <c r="C68" s="3" t="s">
        <v>728</v>
      </c>
      <c r="D68" s="56" t="s">
        <v>729</v>
      </c>
    </row>
    <row r="69" spans="1:4">
      <c r="A69" s="2" t="s">
        <v>722</v>
      </c>
      <c r="B69" s="56" t="s">
        <v>732</v>
      </c>
      <c r="C69" s="3" t="s">
        <v>734</v>
      </c>
      <c r="D69" s="56" t="s">
        <v>737</v>
      </c>
    </row>
    <row r="70" spans="1:4">
      <c r="A70" s="2" t="s">
        <v>722</v>
      </c>
      <c r="B70" s="56" t="s">
        <v>733</v>
      </c>
      <c r="C70" s="3" t="s">
        <v>735</v>
      </c>
      <c r="D70" s="56" t="s">
        <v>736</v>
      </c>
    </row>
    <row r="71" spans="1:4">
      <c r="A71" s="2" t="s">
        <v>722</v>
      </c>
      <c r="B71" s="56" t="s">
        <v>738</v>
      </c>
      <c r="C71" s="3" t="s">
        <v>750</v>
      </c>
      <c r="D71" s="56" t="s">
        <v>739</v>
      </c>
    </row>
    <row r="72" spans="1:4">
      <c r="A72" s="2" t="s">
        <v>722</v>
      </c>
      <c r="B72" s="56" t="s">
        <v>544</v>
      </c>
      <c r="C72" s="3" t="s">
        <v>543</v>
      </c>
      <c r="D72" s="56" t="s">
        <v>740</v>
      </c>
    </row>
    <row r="73" spans="1:4">
      <c r="A73" s="2" t="s">
        <v>722</v>
      </c>
      <c r="B73" s="56" t="s">
        <v>743</v>
      </c>
      <c r="C73" s="3" t="s">
        <v>742</v>
      </c>
      <c r="D73" s="56" t="s">
        <v>741</v>
      </c>
    </row>
    <row r="74" spans="1:4">
      <c r="A74" s="2" t="s">
        <v>722</v>
      </c>
      <c r="B74" s="56" t="s">
        <v>744</v>
      </c>
      <c r="C74" s="3" t="s">
        <v>745</v>
      </c>
      <c r="D74" s="56" t="s">
        <v>748</v>
      </c>
    </row>
    <row r="75" spans="1:4">
      <c r="A75" s="2" t="s">
        <v>722</v>
      </c>
      <c r="B75" s="56" t="s">
        <v>746</v>
      </c>
      <c r="C75" s="3" t="s">
        <v>747</v>
      </c>
      <c r="D75" s="56" t="s">
        <v>749</v>
      </c>
    </row>
    <row r="76" spans="1:4">
      <c r="A76" s="2" t="s">
        <v>722</v>
      </c>
      <c r="B76" s="56" t="s">
        <v>751</v>
      </c>
      <c r="C76" s="3" t="s">
        <v>752</v>
      </c>
    </row>
    <row r="95" spans="1:14">
      <c r="C95" s="36" t="s">
        <v>418</v>
      </c>
    </row>
    <row r="96" spans="1:14" ht="69">
      <c r="A96" s="2"/>
      <c r="B96" s="40" t="s">
        <v>327</v>
      </c>
      <c r="C96" s="3" t="s">
        <v>326</v>
      </c>
      <c r="D96" s="3" t="s">
        <v>329</v>
      </c>
      <c r="E96" s="3"/>
      <c r="F96" s="3"/>
      <c r="G96" s="2">
        <v>0.7</v>
      </c>
      <c r="H96" s="2">
        <v>8</v>
      </c>
      <c r="I96" s="3" t="s">
        <v>8</v>
      </c>
      <c r="J96" s="3"/>
      <c r="K96" s="3" t="s">
        <v>328</v>
      </c>
      <c r="L96" s="3" t="s">
        <v>330</v>
      </c>
      <c r="M96" s="3" t="s">
        <v>331</v>
      </c>
      <c r="N96" s="3" t="s">
        <v>385</v>
      </c>
    </row>
    <row r="97" spans="1:13" ht="27.6">
      <c r="A97" s="2"/>
      <c r="B97" s="40" t="s">
        <v>19</v>
      </c>
      <c r="C97" s="3" t="s">
        <v>20</v>
      </c>
      <c r="D97" s="3" t="s">
        <v>18</v>
      </c>
      <c r="E97" s="3"/>
      <c r="F97" s="3"/>
      <c r="G97" s="2">
        <v>0.5</v>
      </c>
      <c r="H97" s="2">
        <v>5</v>
      </c>
      <c r="I97" s="3" t="s">
        <v>8</v>
      </c>
      <c r="J97" s="3"/>
      <c r="K97" s="3" t="s">
        <v>8</v>
      </c>
    </row>
    <row r="98" spans="1:13" ht="55.2">
      <c r="A98" s="2"/>
      <c r="B98" s="40" t="s">
        <v>25</v>
      </c>
      <c r="C98" s="3" t="s">
        <v>26</v>
      </c>
      <c r="D98" s="3" t="s">
        <v>421</v>
      </c>
      <c r="E98" s="3"/>
      <c r="F98" s="3"/>
      <c r="G98" s="2">
        <v>0.6</v>
      </c>
      <c r="H98" s="2">
        <v>5</v>
      </c>
      <c r="I98" s="3" t="s">
        <v>8</v>
      </c>
      <c r="J98" s="3"/>
      <c r="K98" s="3" t="s">
        <v>8</v>
      </c>
      <c r="M98" s="2"/>
    </row>
    <row r="99" spans="1:13" ht="41.4">
      <c r="A99" s="2" t="s">
        <v>428</v>
      </c>
      <c r="B99" s="40" t="s">
        <v>21</v>
      </c>
      <c r="C99" s="3" t="s">
        <v>22</v>
      </c>
      <c r="D99" s="3" t="s">
        <v>433</v>
      </c>
      <c r="E99" s="3"/>
      <c r="F99" s="3"/>
      <c r="G99" s="2">
        <v>0.5</v>
      </c>
      <c r="H99" s="2">
        <v>4</v>
      </c>
      <c r="I99" s="3" t="s">
        <v>8</v>
      </c>
      <c r="J99" s="3"/>
      <c r="K99" s="3" t="s">
        <v>8</v>
      </c>
      <c r="M99" s="2"/>
    </row>
    <row r="100" spans="1:13" ht="27.6">
      <c r="A100" s="2" t="s">
        <v>426</v>
      </c>
      <c r="B100" s="40" t="s">
        <v>53</v>
      </c>
      <c r="C100" s="3" t="s">
        <v>54</v>
      </c>
      <c r="D100" s="3" t="s">
        <v>434</v>
      </c>
      <c r="E100" s="3"/>
      <c r="F100" s="3"/>
      <c r="G100" s="2">
        <v>0.3</v>
      </c>
      <c r="H100" s="2">
        <v>4</v>
      </c>
      <c r="I100" s="3" t="s">
        <v>9</v>
      </c>
      <c r="J100" s="3"/>
      <c r="K100" s="2"/>
    </row>
    <row r="101" spans="1:13" ht="151.80000000000001">
      <c r="A101" s="2" t="s">
        <v>429</v>
      </c>
      <c r="C101" s="3" t="s">
        <v>335</v>
      </c>
      <c r="D101" s="3" t="s">
        <v>496</v>
      </c>
      <c r="E101" s="33" t="s">
        <v>497</v>
      </c>
      <c r="F101" s="3"/>
      <c r="G101" s="2">
        <v>0.2</v>
      </c>
      <c r="H101" s="2">
        <v>2</v>
      </c>
      <c r="I101" s="3" t="s">
        <v>14</v>
      </c>
      <c r="J101" s="3"/>
    </row>
    <row r="102" spans="1:13" ht="165.6">
      <c r="A102" s="2" t="s">
        <v>425</v>
      </c>
      <c r="C102" s="3" t="s">
        <v>386</v>
      </c>
      <c r="D102" s="3" t="s">
        <v>500</v>
      </c>
      <c r="E102" s="33" t="s">
        <v>501</v>
      </c>
      <c r="F102" s="33" t="s">
        <v>502</v>
      </c>
      <c r="G102" s="2">
        <v>0.2</v>
      </c>
      <c r="H102" s="2">
        <v>3</v>
      </c>
      <c r="I102" s="3" t="s">
        <v>8</v>
      </c>
      <c r="J102" s="3"/>
    </row>
    <row r="103" spans="1:13" ht="82.8">
      <c r="A103" s="2" t="s">
        <v>429</v>
      </c>
      <c r="C103" s="3" t="s">
        <v>332</v>
      </c>
      <c r="D103" s="3" t="s">
        <v>528</v>
      </c>
      <c r="E103" s="3"/>
      <c r="F103" s="3" t="s">
        <v>495</v>
      </c>
      <c r="G103" s="2">
        <v>0.2</v>
      </c>
      <c r="H103" s="2">
        <v>3</v>
      </c>
      <c r="I103" s="3" t="s">
        <v>14</v>
      </c>
      <c r="J103" s="3"/>
      <c r="M103" s="2"/>
    </row>
    <row r="104" spans="1:13" ht="27.6">
      <c r="A104" s="2" t="s">
        <v>425</v>
      </c>
      <c r="C104" s="17" t="s">
        <v>566</v>
      </c>
    </row>
    <row r="105" spans="1:13" ht="110.4">
      <c r="A105" s="2" t="s">
        <v>429</v>
      </c>
      <c r="B105" s="2" t="s">
        <v>33</v>
      </c>
      <c r="C105" s="3" t="s">
        <v>34</v>
      </c>
      <c r="D105" s="3" t="s">
        <v>522</v>
      </c>
      <c r="E105" s="33" t="s">
        <v>488</v>
      </c>
      <c r="F105" s="33" t="s">
        <v>520</v>
      </c>
      <c r="G105" s="2">
        <v>0.6</v>
      </c>
      <c r="H105" s="2">
        <v>4</v>
      </c>
      <c r="I105" s="3" t="s">
        <v>8</v>
      </c>
      <c r="J105" s="3"/>
      <c r="K105" s="2"/>
      <c r="M105" s="2"/>
    </row>
    <row r="106" spans="1:13">
      <c r="C106" s="3" t="s">
        <v>639</v>
      </c>
    </row>
    <row r="107" spans="1:13">
      <c r="C107" s="3" t="s">
        <v>640</v>
      </c>
    </row>
    <row r="108" spans="1:13">
      <c r="C108" s="3" t="s">
        <v>641</v>
      </c>
    </row>
    <row r="109" spans="1:13" ht="27.6">
      <c r="C109" s="3" t="s">
        <v>642</v>
      </c>
    </row>
    <row r="110" spans="1:13">
      <c r="C110" s="3" t="s">
        <v>643</v>
      </c>
    </row>
    <row r="111" spans="1:13">
      <c r="C111" s="3" t="s">
        <v>644</v>
      </c>
      <c r="D111" s="5" t="s">
        <v>645</v>
      </c>
    </row>
    <row r="112" spans="1:13" ht="41.4">
      <c r="C112" s="3" t="s">
        <v>646</v>
      </c>
    </row>
    <row r="113" spans="3:5" ht="27.6">
      <c r="C113" s="3" t="s">
        <v>647</v>
      </c>
    </row>
    <row r="114" spans="3:5" ht="55.2">
      <c r="C114" s="3" t="s">
        <v>648</v>
      </c>
    </row>
    <row r="115" spans="3:5">
      <c r="D115" t="s">
        <v>664</v>
      </c>
    </row>
    <row r="116" spans="3:5">
      <c r="D116" t="s">
        <v>665</v>
      </c>
    </row>
    <row r="117" spans="3:5">
      <c r="D117" t="s">
        <v>666</v>
      </c>
      <c r="E117" s="5" t="s">
        <v>667</v>
      </c>
    </row>
    <row r="118" spans="3:5">
      <c r="D118" t="s">
        <v>668</v>
      </c>
    </row>
    <row r="119" spans="3:5">
      <c r="D119" t="s">
        <v>669</v>
      </c>
    </row>
    <row r="120" spans="3:5">
      <c r="D120" t="s">
        <v>670</v>
      </c>
    </row>
    <row r="121" spans="3:5">
      <c r="D121" t="s">
        <v>671</v>
      </c>
    </row>
    <row r="122" spans="3:5">
      <c r="D122" t="s">
        <v>672</v>
      </c>
      <c r="E122" s="5" t="s">
        <v>673</v>
      </c>
    </row>
    <row r="123" spans="3:5">
      <c r="D123" t="s">
        <v>674</v>
      </c>
    </row>
    <row r="124" spans="3:5">
      <c r="D124" t="s">
        <v>675</v>
      </c>
    </row>
    <row r="125" spans="3:5">
      <c r="D125" t="s">
        <v>676</v>
      </c>
    </row>
    <row r="126" spans="3:5">
      <c r="D126" t="s">
        <v>677</v>
      </c>
    </row>
    <row r="127" spans="3:5">
      <c r="D127" t="s">
        <v>678</v>
      </c>
    </row>
    <row r="128" spans="3:5">
      <c r="D128" t="s">
        <v>679</v>
      </c>
    </row>
    <row r="129" spans="4:5">
      <c r="D129" t="s">
        <v>680</v>
      </c>
    </row>
    <row r="130" spans="4:5">
      <c r="D130" t="s">
        <v>681</v>
      </c>
    </row>
    <row r="131" spans="4:5">
      <c r="D131" t="s">
        <v>682</v>
      </c>
    </row>
    <row r="132" spans="4:5">
      <c r="D132" t="s">
        <v>666</v>
      </c>
    </row>
    <row r="133" spans="4:5">
      <c r="D133" t="s">
        <v>683</v>
      </c>
    </row>
    <row r="134" spans="4:5">
      <c r="D134" t="s">
        <v>684</v>
      </c>
    </row>
    <row r="135" spans="4:5">
      <c r="D135" t="s">
        <v>685</v>
      </c>
    </row>
    <row r="136" spans="4:5">
      <c r="D136" t="s">
        <v>686</v>
      </c>
      <c r="E136" s="5" t="s">
        <v>687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D5" sqref="D5"/>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150</v>
      </c>
    </row>
    <row r="2" spans="1:12" ht="41.4">
      <c r="A2" s="9" t="s">
        <v>7</v>
      </c>
      <c r="B2" s="9" t="s">
        <v>6</v>
      </c>
      <c r="C2" s="9" t="s">
        <v>152</v>
      </c>
      <c r="D2" s="9" t="s">
        <v>5</v>
      </c>
      <c r="E2" s="9" t="s">
        <v>3</v>
      </c>
      <c r="F2" s="9" t="s">
        <v>4</v>
      </c>
      <c r="G2" s="9" t="s">
        <v>57</v>
      </c>
      <c r="H2" s="9" t="s">
        <v>1</v>
      </c>
      <c r="I2" s="9" t="s">
        <v>202</v>
      </c>
      <c r="J2" s="9" t="s">
        <v>0</v>
      </c>
      <c r="K2" s="9" t="s">
        <v>151</v>
      </c>
      <c r="L2" s="9" t="s">
        <v>105</v>
      </c>
    </row>
    <row r="3" spans="1:12">
      <c r="A3" t="s">
        <v>52</v>
      </c>
      <c r="B3" t="s">
        <v>303</v>
      </c>
      <c r="C3" t="s">
        <v>125</v>
      </c>
      <c r="D3" t="s">
        <v>423</v>
      </c>
      <c r="F3">
        <v>90</v>
      </c>
      <c r="G3" t="s">
        <v>9</v>
      </c>
      <c r="H3" t="s">
        <v>352</v>
      </c>
      <c r="I3" s="19"/>
    </row>
    <row r="4" spans="1:12">
      <c r="A4" t="s">
        <v>63</v>
      </c>
      <c r="B4" t="s">
        <v>82</v>
      </c>
      <c r="C4" t="s">
        <v>153</v>
      </c>
      <c r="D4" t="s">
        <v>423</v>
      </c>
      <c r="F4">
        <v>80</v>
      </c>
      <c r="G4" t="s">
        <v>8</v>
      </c>
      <c r="H4" t="s">
        <v>351</v>
      </c>
      <c r="L4" s="5"/>
    </row>
    <row r="5" spans="1:12" ht="28.8">
      <c r="A5" t="s">
        <v>136</v>
      </c>
      <c r="B5" t="s">
        <v>295</v>
      </c>
      <c r="C5" t="s">
        <v>154</v>
      </c>
      <c r="E5">
        <v>0.5</v>
      </c>
      <c r="F5">
        <v>90</v>
      </c>
      <c r="G5" t="s">
        <v>9</v>
      </c>
      <c r="K5" t="s">
        <v>290</v>
      </c>
      <c r="L5" s="5" t="s">
        <v>302</v>
      </c>
    </row>
    <row r="6" spans="1:12">
      <c r="A6" t="s">
        <v>133</v>
      </c>
      <c r="B6" t="s">
        <v>296</v>
      </c>
      <c r="C6" t="s">
        <v>154</v>
      </c>
      <c r="E6">
        <v>0</v>
      </c>
      <c r="F6">
        <v>10</v>
      </c>
      <c r="G6" t="s">
        <v>8</v>
      </c>
      <c r="K6" t="s">
        <v>291</v>
      </c>
    </row>
    <row r="7" spans="1:12">
      <c r="A7" t="s">
        <v>134</v>
      </c>
      <c r="B7" t="s">
        <v>297</v>
      </c>
      <c r="C7" t="s">
        <v>154</v>
      </c>
      <c r="E7">
        <v>0</v>
      </c>
      <c r="F7">
        <v>0</v>
      </c>
      <c r="G7" t="s">
        <v>8</v>
      </c>
      <c r="K7" t="s">
        <v>293</v>
      </c>
    </row>
    <row r="8" spans="1:12">
      <c r="A8" t="s">
        <v>135</v>
      </c>
      <c r="B8" t="s">
        <v>298</v>
      </c>
      <c r="C8" t="s">
        <v>154</v>
      </c>
      <c r="E8">
        <v>0</v>
      </c>
      <c r="F8">
        <v>0</v>
      </c>
      <c r="G8" t="s">
        <v>8</v>
      </c>
      <c r="K8" t="s">
        <v>292</v>
      </c>
    </row>
    <row r="9" spans="1:12">
      <c r="A9" t="s">
        <v>289</v>
      </c>
      <c r="C9" t="s">
        <v>154</v>
      </c>
      <c r="E9">
        <v>0.3</v>
      </c>
      <c r="F9">
        <v>50</v>
      </c>
      <c r="G9" t="s">
        <v>9</v>
      </c>
      <c r="K9" t="s">
        <v>294</v>
      </c>
    </row>
    <row r="10" spans="1:12">
      <c r="A10" t="s">
        <v>299</v>
      </c>
      <c r="B10" t="s">
        <v>301</v>
      </c>
      <c r="C10" t="s">
        <v>154</v>
      </c>
      <c r="E10">
        <v>0.4</v>
      </c>
      <c r="F10">
        <v>60</v>
      </c>
      <c r="G10" t="s">
        <v>8</v>
      </c>
      <c r="K10" s="5" t="s">
        <v>300</v>
      </c>
    </row>
    <row r="11" spans="1:12" ht="28.8">
      <c r="A11" t="s">
        <v>341</v>
      </c>
      <c r="B11" t="s">
        <v>342</v>
      </c>
      <c r="C11" t="s">
        <v>154</v>
      </c>
      <c r="D11" t="s">
        <v>424</v>
      </c>
      <c r="E11">
        <v>0.5</v>
      </c>
      <c r="F11">
        <v>80</v>
      </c>
      <c r="G11" t="s">
        <v>9</v>
      </c>
      <c r="K11" s="5" t="s">
        <v>353</v>
      </c>
      <c r="L11" t="s">
        <v>354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139</v>
      </c>
    </row>
    <row r="3" spans="1:10">
      <c r="A3" s="14" t="s">
        <v>171</v>
      </c>
      <c r="E3" t="s">
        <v>410</v>
      </c>
    </row>
    <row r="4" spans="1:10" ht="27.6">
      <c r="A4" s="7" t="s">
        <v>6</v>
      </c>
      <c r="B4" s="7" t="s">
        <v>61</v>
      </c>
      <c r="C4" s="7" t="s">
        <v>127</v>
      </c>
      <c r="D4" s="7" t="s">
        <v>167</v>
      </c>
      <c r="E4" s="7" t="s">
        <v>140</v>
      </c>
      <c r="F4" s="7" t="s">
        <v>141</v>
      </c>
      <c r="G4" s="7" t="s">
        <v>149</v>
      </c>
    </row>
    <row r="5" spans="1:10" ht="28.8">
      <c r="C5" s="5" t="s">
        <v>173</v>
      </c>
      <c r="D5" s="5" t="s">
        <v>183</v>
      </c>
      <c r="E5" s="5" t="s">
        <v>174</v>
      </c>
      <c r="F5" s="5" t="s">
        <v>175</v>
      </c>
      <c r="G5" s="5" t="s">
        <v>165</v>
      </c>
    </row>
    <row r="8" spans="1:10">
      <c r="A8" s="14" t="s">
        <v>172</v>
      </c>
      <c r="E8" t="s">
        <v>411</v>
      </c>
    </row>
    <row r="9" spans="1:10" ht="41.4">
      <c r="A9" s="7" t="s">
        <v>6</v>
      </c>
      <c r="B9" s="7" t="s">
        <v>61</v>
      </c>
      <c r="C9" s="7" t="s">
        <v>166</v>
      </c>
      <c r="D9" s="7" t="s">
        <v>168</v>
      </c>
      <c r="E9" s="7" t="s">
        <v>60</v>
      </c>
      <c r="F9" s="7" t="s">
        <v>140</v>
      </c>
      <c r="G9" s="7" t="s">
        <v>170</v>
      </c>
      <c r="H9" s="7" t="s">
        <v>169</v>
      </c>
      <c r="I9" s="7" t="s">
        <v>149</v>
      </c>
      <c r="J9"/>
    </row>
    <row r="10" spans="1:10" ht="43.2">
      <c r="C10" s="5" t="s">
        <v>176</v>
      </c>
      <c r="D10" s="5" t="s">
        <v>177</v>
      </c>
      <c r="E10" s="5" t="s">
        <v>178</v>
      </c>
      <c r="F10" s="5" t="s">
        <v>179</v>
      </c>
      <c r="G10" s="5" t="s">
        <v>180</v>
      </c>
      <c r="H10" s="5" t="s">
        <v>181</v>
      </c>
      <c r="I10" s="5" t="s">
        <v>182</v>
      </c>
      <c r="J10" s="17"/>
    </row>
    <row r="11" spans="1:10">
      <c r="F11" s="18"/>
      <c r="G11" s="18"/>
      <c r="H11" s="17"/>
      <c r="I11" s="17"/>
      <c r="J11"/>
    </row>
    <row r="12" spans="1:10">
      <c r="A12"/>
      <c r="B12"/>
      <c r="C12"/>
      <c r="D12"/>
      <c r="E12"/>
      <c r="F12"/>
      <c r="G12"/>
      <c r="H12"/>
      <c r="I12"/>
      <c r="J12"/>
    </row>
    <row r="13" spans="1:10" ht="15.6">
      <c r="A13" s="23" t="s">
        <v>184</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224</v>
      </c>
      <c r="K1" s="14" t="s">
        <v>304</v>
      </c>
    </row>
    <row r="2" spans="1:13">
      <c r="K2" t="s">
        <v>305</v>
      </c>
      <c r="L2" t="s">
        <v>306</v>
      </c>
    </row>
    <row r="3" spans="1:13" ht="57.6">
      <c r="A3" s="14" t="s">
        <v>225</v>
      </c>
      <c r="B3" s="13" t="s">
        <v>226</v>
      </c>
      <c r="C3" s="13" t="s">
        <v>227</v>
      </c>
      <c r="D3" s="14" t="s">
        <v>228</v>
      </c>
      <c r="E3" s="13" t="s">
        <v>231</v>
      </c>
      <c r="F3" s="13" t="s">
        <v>230</v>
      </c>
      <c r="G3" s="14" t="s">
        <v>229</v>
      </c>
      <c r="K3" t="s">
        <v>310</v>
      </c>
      <c r="L3" s="5" t="s">
        <v>311</v>
      </c>
      <c r="M3" s="5" t="s">
        <v>321</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307</v>
      </c>
      <c r="L4" s="5" t="s">
        <v>308</v>
      </c>
      <c r="M4" s="5" t="s">
        <v>322</v>
      </c>
    </row>
    <row r="5" spans="1:13" ht="43.2">
      <c r="A5">
        <v>3</v>
      </c>
      <c r="B5">
        <v>4</v>
      </c>
      <c r="C5">
        <v>2</v>
      </c>
      <c r="D5">
        <f t="shared" si="0"/>
        <v>15</v>
      </c>
      <c r="E5">
        <f t="shared" si="1"/>
        <v>60</v>
      </c>
      <c r="F5">
        <f t="shared" si="2"/>
        <v>80</v>
      </c>
      <c r="G5">
        <f t="shared" si="3"/>
        <v>50</v>
      </c>
      <c r="L5" s="5" t="s">
        <v>309</v>
      </c>
    </row>
    <row r="6" spans="1:13" ht="28.8">
      <c r="A6">
        <v>1</v>
      </c>
      <c r="B6">
        <v>1</v>
      </c>
      <c r="C6">
        <v>1</v>
      </c>
      <c r="D6">
        <f t="shared" si="0"/>
        <v>5</v>
      </c>
      <c r="E6">
        <f t="shared" si="1"/>
        <v>90</v>
      </c>
      <c r="F6">
        <f t="shared" si="2"/>
        <v>90</v>
      </c>
      <c r="G6">
        <f t="shared" si="3"/>
        <v>56</v>
      </c>
      <c r="K6" t="s">
        <v>312</v>
      </c>
      <c r="L6" s="5" t="s">
        <v>313</v>
      </c>
    </row>
    <row r="7" spans="1:13">
      <c r="A7">
        <v>3</v>
      </c>
      <c r="B7">
        <v>10</v>
      </c>
      <c r="C7">
        <v>6</v>
      </c>
      <c r="D7">
        <f t="shared" si="0"/>
        <v>15</v>
      </c>
      <c r="E7">
        <f t="shared" si="1"/>
        <v>0</v>
      </c>
      <c r="F7">
        <f t="shared" si="2"/>
        <v>40</v>
      </c>
      <c r="G7">
        <f t="shared" si="3"/>
        <v>22</v>
      </c>
      <c r="L7" s="5" t="s">
        <v>314</v>
      </c>
    </row>
    <row r="8" spans="1:13" ht="28.8">
      <c r="A8">
        <v>14</v>
      </c>
      <c r="B8">
        <v>4</v>
      </c>
      <c r="C8">
        <v>4</v>
      </c>
      <c r="D8">
        <f t="shared" si="0"/>
        <v>70</v>
      </c>
      <c r="E8">
        <f t="shared" si="1"/>
        <v>60</v>
      </c>
      <c r="F8">
        <f t="shared" si="2"/>
        <v>60</v>
      </c>
      <c r="G8">
        <f t="shared" si="3"/>
        <v>64</v>
      </c>
      <c r="K8" t="s">
        <v>316</v>
      </c>
      <c r="L8" s="5" t="s">
        <v>315</v>
      </c>
    </row>
    <row r="9" spans="1:13" ht="27">
      <c r="A9">
        <v>1</v>
      </c>
      <c r="B9">
        <v>10</v>
      </c>
      <c r="C9">
        <v>5</v>
      </c>
      <c r="D9">
        <f t="shared" si="0"/>
        <v>5</v>
      </c>
      <c r="E9">
        <f t="shared" si="1"/>
        <v>0</v>
      </c>
      <c r="F9">
        <f t="shared" si="2"/>
        <v>50</v>
      </c>
      <c r="G9">
        <f t="shared" si="3"/>
        <v>22</v>
      </c>
      <c r="K9" s="14" t="s">
        <v>318</v>
      </c>
      <c r="L9" s="32" t="s">
        <v>317</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320</v>
      </c>
      <c r="L11" s="5" t="s">
        <v>319</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D6" sqref="D6"/>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155</v>
      </c>
      <c r="G1" s="24" t="s">
        <v>162</v>
      </c>
      <c r="J1" s="19" t="s">
        <v>164</v>
      </c>
    </row>
    <row r="3" spans="2:13">
      <c r="B3" s="5"/>
      <c r="C3" s="5" t="s">
        <v>126</v>
      </c>
      <c r="E3" s="5"/>
      <c r="F3" s="5" t="s">
        <v>128</v>
      </c>
      <c r="H3" s="5"/>
      <c r="I3" s="5"/>
      <c r="J3" s="5"/>
      <c r="K3" s="5"/>
      <c r="L3" s="5"/>
    </row>
    <row r="4" spans="2:13" ht="28.8">
      <c r="B4" s="5" t="s">
        <v>7</v>
      </c>
      <c r="C4" s="13" t="s">
        <v>142</v>
      </c>
      <c r="D4" s="13" t="s">
        <v>143</v>
      </c>
      <c r="E4" s="13" t="s">
        <v>144</v>
      </c>
      <c r="F4" s="13" t="s">
        <v>145</v>
      </c>
      <c r="G4" s="13" t="s">
        <v>146</v>
      </c>
      <c r="H4" s="13" t="s">
        <v>147</v>
      </c>
      <c r="I4" s="5" t="s">
        <v>130</v>
      </c>
      <c r="J4" s="5" t="s">
        <v>148</v>
      </c>
      <c r="K4" s="5" t="s">
        <v>138</v>
      </c>
      <c r="L4" s="5" t="s">
        <v>131</v>
      </c>
      <c r="M4" s="13" t="s">
        <v>137</v>
      </c>
    </row>
    <row r="5" spans="2:13">
      <c r="B5" s="5" t="s">
        <v>10</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15</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32</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142</v>
      </c>
      <c r="D12" s="13" t="s">
        <v>143</v>
      </c>
      <c r="E12" s="13" t="s">
        <v>144</v>
      </c>
      <c r="F12" s="13" t="s">
        <v>145</v>
      </c>
      <c r="G12" s="13" t="s">
        <v>146</v>
      </c>
      <c r="H12" s="13" t="s">
        <v>147</v>
      </c>
      <c r="I12" s="5" t="s">
        <v>130</v>
      </c>
      <c r="J12" s="5" t="s">
        <v>148</v>
      </c>
      <c r="K12" s="5" t="s">
        <v>138</v>
      </c>
      <c r="L12" s="5" t="s">
        <v>131</v>
      </c>
      <c r="M12" s="13" t="s">
        <v>137</v>
      </c>
    </row>
    <row r="13" spans="2:13">
      <c r="B13" s="5" t="s">
        <v>129</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10</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15</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45</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32</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43</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161</v>
      </c>
      <c r="B1" s="5"/>
      <c r="C1" s="5"/>
      <c r="D1" s="5"/>
      <c r="E1" s="5"/>
      <c r="F1" s="26" t="s">
        <v>163</v>
      </c>
      <c r="G1" s="5"/>
      <c r="H1" s="5"/>
    </row>
    <row r="2" spans="1:9">
      <c r="A2" s="5"/>
      <c r="B2" s="5"/>
      <c r="C2" s="5"/>
      <c r="D2" s="5"/>
      <c r="E2" s="5"/>
      <c r="G2" s="5"/>
      <c r="H2" s="5"/>
    </row>
    <row r="3" spans="1:9">
      <c r="A3" s="20" t="s">
        <v>204</v>
      </c>
      <c r="B3" s="5"/>
      <c r="C3" s="5"/>
      <c r="D3" s="5"/>
      <c r="E3" s="5"/>
      <c r="F3" s="5"/>
      <c r="G3" s="5"/>
      <c r="H3" s="5"/>
    </row>
    <row r="4" spans="1:9">
      <c r="F4" s="5"/>
      <c r="G4" s="5"/>
      <c r="H4" s="5"/>
    </row>
    <row r="5" spans="1:9">
      <c r="A5" t="s">
        <v>189</v>
      </c>
      <c r="B5" s="5"/>
      <c r="C5" s="5"/>
      <c r="D5" s="5"/>
      <c r="E5" s="5"/>
      <c r="F5" s="5"/>
      <c r="G5" s="5"/>
      <c r="H5" s="5"/>
    </row>
    <row r="6" spans="1:9" ht="43.2">
      <c r="A6" s="22" t="s">
        <v>61</v>
      </c>
      <c r="B6" s="22" t="s">
        <v>185</v>
      </c>
      <c r="C6" s="22" t="s">
        <v>60</v>
      </c>
      <c r="D6" s="22" t="s">
        <v>187</v>
      </c>
      <c r="E6" s="22" t="s">
        <v>186</v>
      </c>
      <c r="F6" s="22" t="s">
        <v>188</v>
      </c>
      <c r="G6" s="22" t="s">
        <v>190</v>
      </c>
      <c r="H6" s="22" t="s">
        <v>200</v>
      </c>
      <c r="I6" s="22" t="s">
        <v>191</v>
      </c>
    </row>
    <row r="7" spans="1:9">
      <c r="A7" s="5" t="s">
        <v>63</v>
      </c>
      <c r="B7" s="5" t="s">
        <v>193</v>
      </c>
      <c r="C7" s="5" t="s">
        <v>194</v>
      </c>
      <c r="D7" s="5">
        <v>95</v>
      </c>
      <c r="E7" s="5">
        <v>185</v>
      </c>
      <c r="F7" s="5">
        <v>1</v>
      </c>
      <c r="G7" s="5">
        <v>10</v>
      </c>
      <c r="H7">
        <f>F7*D7</f>
        <v>95</v>
      </c>
      <c r="I7">
        <f>D7*F7*G7</f>
        <v>950</v>
      </c>
    </row>
    <row r="8" spans="1:9">
      <c r="A8" t="s">
        <v>133</v>
      </c>
      <c r="B8" t="s">
        <v>193</v>
      </c>
      <c r="C8" t="s">
        <v>132</v>
      </c>
      <c r="D8">
        <v>80</v>
      </c>
      <c r="E8" t="s">
        <v>132</v>
      </c>
      <c r="F8">
        <v>0.5</v>
      </c>
      <c r="G8">
        <v>10</v>
      </c>
      <c r="H8">
        <f>F8*D8</f>
        <v>40</v>
      </c>
      <c r="I8">
        <f t="shared" ref="I8:I11" si="0">D8*F8*G8</f>
        <v>400</v>
      </c>
    </row>
    <row r="9" spans="1:9">
      <c r="A9" t="s">
        <v>133</v>
      </c>
      <c r="B9" t="s">
        <v>195</v>
      </c>
      <c r="C9" t="s">
        <v>196</v>
      </c>
      <c r="D9">
        <v>50</v>
      </c>
      <c r="E9" t="s">
        <v>196</v>
      </c>
      <c r="F9">
        <v>0.8</v>
      </c>
      <c r="G9">
        <v>10</v>
      </c>
      <c r="H9">
        <f>F9*D9</f>
        <v>40</v>
      </c>
      <c r="I9">
        <f t="shared" si="0"/>
        <v>400</v>
      </c>
    </row>
    <row r="10" spans="1:9">
      <c r="A10" t="s">
        <v>192</v>
      </c>
      <c r="B10" t="s">
        <v>193</v>
      </c>
      <c r="C10" t="s">
        <v>199</v>
      </c>
      <c r="D10">
        <v>80</v>
      </c>
      <c r="E10" t="s">
        <v>199</v>
      </c>
      <c r="F10">
        <v>0.5</v>
      </c>
      <c r="G10">
        <v>10</v>
      </c>
      <c r="H10">
        <f>F10*D10</f>
        <v>40</v>
      </c>
      <c r="I10">
        <f t="shared" si="0"/>
        <v>400</v>
      </c>
    </row>
    <row r="11" spans="1:9">
      <c r="A11" t="s">
        <v>134</v>
      </c>
      <c r="B11" t="s">
        <v>195</v>
      </c>
      <c r="C11" t="s">
        <v>197</v>
      </c>
      <c r="D11">
        <v>30</v>
      </c>
      <c r="E11" t="s">
        <v>198</v>
      </c>
      <c r="F11">
        <v>0.6</v>
      </c>
      <c r="G11">
        <v>0</v>
      </c>
      <c r="H11">
        <f>F11*D11</f>
        <v>18</v>
      </c>
      <c r="I11">
        <f t="shared" si="0"/>
        <v>0</v>
      </c>
    </row>
    <row r="12" spans="1:9">
      <c r="D12">
        <f>SUM(D7:D11)</f>
        <v>335</v>
      </c>
      <c r="F12">
        <f>SUM(F7:F11)</f>
        <v>3.4</v>
      </c>
      <c r="H12">
        <f>SUM(H7:H11)</f>
        <v>233</v>
      </c>
      <c r="I12" s="25">
        <f>SUM(I7:I11)/H12</f>
        <v>9.2274678111587978</v>
      </c>
    </row>
    <row r="14" spans="1:9">
      <c r="A14" s="19" t="s">
        <v>201</v>
      </c>
    </row>
    <row r="15" spans="1:9">
      <c r="A15" s="20" t="s">
        <v>203</v>
      </c>
    </row>
    <row r="17" spans="1:1">
      <c r="A17" t="s">
        <v>388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206</v>
      </c>
    </row>
    <row r="3" spans="1:14">
      <c r="A3" s="14" t="s">
        <v>207</v>
      </c>
      <c r="B3" s="14" t="s">
        <v>208</v>
      </c>
      <c r="C3" s="14" t="s">
        <v>209</v>
      </c>
      <c r="D3" s="14" t="s">
        <v>122</v>
      </c>
      <c r="E3" s="14" t="s">
        <v>210</v>
      </c>
      <c r="F3" s="14" t="s">
        <v>211</v>
      </c>
      <c r="G3" s="14" t="s">
        <v>84</v>
      </c>
      <c r="H3" s="14" t="s">
        <v>212</v>
      </c>
      <c r="I3" s="14" t="s">
        <v>217</v>
      </c>
      <c r="J3" s="14" t="s">
        <v>218</v>
      </c>
      <c r="K3" s="14" t="s">
        <v>232</v>
      </c>
      <c r="L3" s="14" t="s">
        <v>220</v>
      </c>
    </row>
    <row r="4" spans="1:14">
      <c r="I4" t="s">
        <v>222</v>
      </c>
      <c r="K4" t="s">
        <v>233</v>
      </c>
      <c r="L4" t="s">
        <v>221</v>
      </c>
    </row>
    <row r="5" spans="1:14">
      <c r="L5" s="19" t="s">
        <v>275</v>
      </c>
    </row>
    <row r="8" spans="1:14">
      <c r="A8" s="27" t="s">
        <v>223</v>
      </c>
    </row>
    <row r="10" spans="1:14">
      <c r="A10" t="s">
        <v>213</v>
      </c>
    </row>
    <row r="11" spans="1:14">
      <c r="A11" s="14" t="s">
        <v>207</v>
      </c>
      <c r="B11" s="14" t="s">
        <v>208</v>
      </c>
      <c r="C11" s="14" t="s">
        <v>209</v>
      </c>
      <c r="D11" s="14" t="s">
        <v>122</v>
      </c>
      <c r="E11" s="14" t="s">
        <v>210</v>
      </c>
      <c r="F11" s="14" t="s">
        <v>211</v>
      </c>
      <c r="G11" s="14" t="s">
        <v>84</v>
      </c>
      <c r="H11" s="14" t="s">
        <v>212</v>
      </c>
      <c r="I11" s="14" t="s">
        <v>217</v>
      </c>
      <c r="J11" s="14" t="s">
        <v>218</v>
      </c>
      <c r="K11" s="14" t="s">
        <v>232</v>
      </c>
      <c r="L11" s="14" t="s">
        <v>220</v>
      </c>
    </row>
    <row r="12" spans="1:14">
      <c r="A12">
        <v>4541</v>
      </c>
      <c r="B12">
        <v>221</v>
      </c>
      <c r="C12">
        <v>844</v>
      </c>
      <c r="D12">
        <v>73</v>
      </c>
      <c r="E12" t="s">
        <v>214</v>
      </c>
      <c r="F12" t="s">
        <v>215</v>
      </c>
      <c r="G12" t="s">
        <v>216</v>
      </c>
      <c r="H12" s="29">
        <v>46075</v>
      </c>
      <c r="I12">
        <v>60</v>
      </c>
      <c r="J12">
        <v>50</v>
      </c>
      <c r="K12">
        <f>(J12+I12)/2</f>
        <v>55</v>
      </c>
      <c r="L12">
        <f>0.3*K12+0.7*D12</f>
        <v>67.599999999999994</v>
      </c>
      <c r="N12" t="s">
        <v>234</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247</v>
      </c>
      <c r="D1" t="s">
        <v>262</v>
      </c>
    </row>
    <row r="3" spans="1:5">
      <c r="C3" t="s">
        <v>61</v>
      </c>
      <c r="D3" s="14" t="s">
        <v>248</v>
      </c>
      <c r="E3" s="14" t="s">
        <v>105</v>
      </c>
    </row>
    <row r="4" spans="1:5">
      <c r="C4" s="14" t="s">
        <v>239</v>
      </c>
    </row>
    <row r="5" spans="1:5">
      <c r="C5" t="s">
        <v>71</v>
      </c>
      <c r="D5" t="s">
        <v>249</v>
      </c>
    </row>
    <row r="6" spans="1:5">
      <c r="C6" t="s">
        <v>75</v>
      </c>
      <c r="D6" t="s">
        <v>250</v>
      </c>
    </row>
    <row r="7" spans="1:5">
      <c r="C7" t="s">
        <v>73</v>
      </c>
      <c r="D7" t="s">
        <v>251</v>
      </c>
      <c r="E7" t="s">
        <v>263</v>
      </c>
    </row>
    <row r="8" spans="1:5" ht="28.8">
      <c r="C8" t="s">
        <v>80</v>
      </c>
      <c r="D8" t="s">
        <v>252</v>
      </c>
      <c r="E8" s="5" t="s">
        <v>253</v>
      </c>
    </row>
    <row r="9" spans="1:5">
      <c r="C9" t="s">
        <v>63</v>
      </c>
      <c r="D9" t="s">
        <v>251</v>
      </c>
    </row>
    <row r="10" spans="1:5" ht="43.2">
      <c r="C10" t="s">
        <v>64</v>
      </c>
      <c r="D10" s="5" t="s">
        <v>254</v>
      </c>
      <c r="E10" s="19" t="s">
        <v>255</v>
      </c>
    </row>
    <row r="12" spans="1:5">
      <c r="C12" s="14" t="s">
        <v>240</v>
      </c>
    </row>
    <row r="13" spans="1:5">
      <c r="C13" t="s">
        <v>235</v>
      </c>
      <c r="D13" t="s">
        <v>256</v>
      </c>
      <c r="E13" s="19" t="s">
        <v>257</v>
      </c>
    </row>
    <row r="14" spans="1:5">
      <c r="C14" t="s">
        <v>236</v>
      </c>
      <c r="D14" t="s">
        <v>258</v>
      </c>
      <c r="E14" t="s">
        <v>259</v>
      </c>
    </row>
    <row r="15" spans="1:5">
      <c r="C15" t="s">
        <v>237</v>
      </c>
      <c r="D15" t="s">
        <v>258</v>
      </c>
      <c r="E15" t="s">
        <v>260</v>
      </c>
    </row>
    <row r="16" spans="1:5">
      <c r="C16" t="s">
        <v>238</v>
      </c>
      <c r="D16" t="s">
        <v>261</v>
      </c>
    </row>
    <row r="19" spans="2:2">
      <c r="B19" t="s">
        <v>241</v>
      </c>
    </row>
    <row r="21" spans="2:2">
      <c r="B21" t="s">
        <v>242</v>
      </c>
    </row>
    <row r="24" spans="2:2">
      <c r="B24" t="s">
        <v>243</v>
      </c>
    </row>
    <row r="25" spans="2:2">
      <c r="B25" t="s">
        <v>244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355</v>
      </c>
    </row>
    <row r="2" spans="1:4">
      <c r="A2" s="14" t="s">
        <v>364</v>
      </c>
      <c r="B2" s="14" t="s">
        <v>360</v>
      </c>
    </row>
    <row r="3" spans="1:4">
      <c r="A3" t="s">
        <v>356</v>
      </c>
      <c r="B3" t="s">
        <v>361</v>
      </c>
    </row>
    <row r="4" spans="1:4">
      <c r="A4" t="s">
        <v>358</v>
      </c>
    </row>
    <row r="5" spans="1:4">
      <c r="A5" t="s">
        <v>357</v>
      </c>
      <c r="B5" t="s">
        <v>362</v>
      </c>
    </row>
    <row r="6" spans="1:4">
      <c r="A6" t="s">
        <v>359</v>
      </c>
      <c r="B6" t="s">
        <v>363</v>
      </c>
    </row>
    <row r="8" spans="1:4">
      <c r="A8" s="14" t="s">
        <v>365</v>
      </c>
    </row>
    <row r="9" spans="1:4">
      <c r="A9" t="s">
        <v>80</v>
      </c>
      <c r="B9" t="s">
        <v>364</v>
      </c>
    </row>
    <row r="12" spans="1:4">
      <c r="A12" s="14" t="s">
        <v>366</v>
      </c>
    </row>
    <row r="13" spans="1:4">
      <c r="A13" s="14" t="s">
        <v>367</v>
      </c>
      <c r="B13" s="14" t="s">
        <v>382</v>
      </c>
      <c r="C13" s="14" t="s">
        <v>368</v>
      </c>
      <c r="D13" s="14" t="s">
        <v>369</v>
      </c>
    </row>
    <row r="14" spans="1:4">
      <c r="A14" t="s">
        <v>380</v>
      </c>
    </row>
    <row r="16" spans="1:4">
      <c r="A16" t="s">
        <v>381</v>
      </c>
    </row>
    <row r="17" spans="1:3">
      <c r="A17" t="s">
        <v>370</v>
      </c>
      <c r="C17" s="3"/>
    </row>
    <row r="18" spans="1:3">
      <c r="A18" t="s">
        <v>371</v>
      </c>
    </row>
    <row r="19" spans="1:3">
      <c r="A19" t="s">
        <v>372</v>
      </c>
    </row>
    <row r="20" spans="1:3">
      <c r="A20" t="s">
        <v>373</v>
      </c>
    </row>
    <row r="21" spans="1:3">
      <c r="A21" t="s">
        <v>374</v>
      </c>
    </row>
    <row r="22" spans="1:3">
      <c r="A22" t="s">
        <v>375</v>
      </c>
    </row>
    <row r="23" spans="1:3">
      <c r="A23" t="s">
        <v>376</v>
      </c>
    </row>
    <row r="24" spans="1:3">
      <c r="A24" t="s">
        <v>377</v>
      </c>
    </row>
    <row r="25" spans="1:3">
      <c r="A25" t="s">
        <v>378</v>
      </c>
    </row>
    <row r="26" spans="1:3">
      <c r="A26" t="s">
        <v>379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9"/>
  <sheetViews>
    <sheetView rightToLeft="1" workbookViewId="0">
      <selection activeCell="A13" sqref="A13"/>
    </sheetView>
  </sheetViews>
  <sheetFormatPr defaultRowHeight="14.4"/>
  <sheetData>
    <row r="1" spans="1:1">
      <c r="A1" s="14" t="s">
        <v>343</v>
      </c>
    </row>
    <row r="3" spans="1:1">
      <c r="A3" s="14" t="s">
        <v>438</v>
      </c>
    </row>
    <row r="4" spans="1:1">
      <c r="A4" t="s">
        <v>344</v>
      </c>
    </row>
    <row r="5" spans="1:1">
      <c r="A5" t="s">
        <v>346</v>
      </c>
    </row>
    <row r="6" spans="1:1">
      <c r="A6" t="s">
        <v>345</v>
      </c>
    </row>
    <row r="8" spans="1:1">
      <c r="A8" s="14" t="s">
        <v>439</v>
      </c>
    </row>
    <row r="9" spans="1:1">
      <c r="A9" t="s">
        <v>440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47FA1-3DB6-4F73-94E7-2B8A7BD334E9}">
  <dimension ref="A1:B14"/>
  <sheetViews>
    <sheetView rightToLeft="1" workbookViewId="0">
      <selection activeCell="A13" sqref="A13"/>
    </sheetView>
  </sheetViews>
  <sheetFormatPr defaultRowHeight="14.4"/>
  <cols>
    <col min="1" max="1" width="37.109375" customWidth="1"/>
  </cols>
  <sheetData>
    <row r="1" spans="1:2">
      <c r="A1" s="14" t="s">
        <v>441</v>
      </c>
    </row>
    <row r="2" spans="1:2">
      <c r="A2" t="s">
        <v>442</v>
      </c>
    </row>
    <row r="3" spans="1:2">
      <c r="A3" t="s">
        <v>443</v>
      </c>
    </row>
    <row r="4" spans="1:2">
      <c r="A4" t="s">
        <v>444</v>
      </c>
    </row>
    <row r="5" spans="1:2">
      <c r="A5" t="s">
        <v>452</v>
      </c>
      <c r="B5" t="s">
        <v>453</v>
      </c>
    </row>
    <row r="8" spans="1:2">
      <c r="A8" s="14" t="s">
        <v>445</v>
      </c>
    </row>
    <row r="9" spans="1:2">
      <c r="A9" t="s">
        <v>446</v>
      </c>
    </row>
    <row r="10" spans="1:2">
      <c r="A10" t="s">
        <v>447</v>
      </c>
    </row>
    <row r="11" spans="1:2">
      <c r="A11" t="s">
        <v>448</v>
      </c>
    </row>
    <row r="12" spans="1:2">
      <c r="A12" t="s">
        <v>449</v>
      </c>
      <c r="B12" t="s">
        <v>450</v>
      </c>
    </row>
    <row r="13" spans="1:2">
      <c r="A13" t="s">
        <v>451</v>
      </c>
    </row>
    <row r="14" spans="1:2">
      <c r="A14" t="s">
        <v>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7838B-7DDE-48A8-A573-BCAB05D487CE}">
  <dimension ref="A1:D10"/>
  <sheetViews>
    <sheetView rightToLeft="1" workbookViewId="0">
      <selection activeCell="C3" sqref="C3"/>
    </sheetView>
  </sheetViews>
  <sheetFormatPr defaultRowHeight="14.4"/>
  <cols>
    <col min="2" max="2" width="53.6640625" customWidth="1"/>
    <col min="3" max="3" width="42.109375" customWidth="1"/>
    <col min="4" max="4" width="49" customWidth="1"/>
  </cols>
  <sheetData>
    <row r="1" spans="1:4" ht="27.6" thickBot="1">
      <c r="A1" s="54" t="s">
        <v>574</v>
      </c>
      <c r="B1" s="54" t="s">
        <v>603</v>
      </c>
      <c r="C1" s="54" t="s">
        <v>604</v>
      </c>
      <c r="D1" s="54" t="s">
        <v>605</v>
      </c>
    </row>
    <row r="2" spans="1:4" ht="54" thickBot="1">
      <c r="A2" s="54" t="s">
        <v>606</v>
      </c>
      <c r="B2" s="53" t="s">
        <v>607</v>
      </c>
      <c r="C2" s="53" t="s">
        <v>608</v>
      </c>
      <c r="D2" s="53" t="s">
        <v>609</v>
      </c>
    </row>
    <row r="3" spans="1:4" ht="172.8" thickBot="1">
      <c r="A3" s="54" t="s">
        <v>610</v>
      </c>
      <c r="B3" s="53" t="s">
        <v>613</v>
      </c>
      <c r="C3" s="53" t="s">
        <v>612</v>
      </c>
      <c r="D3" s="53" t="s">
        <v>611</v>
      </c>
    </row>
    <row r="4" spans="1:4" ht="40.799999999999997" thickBot="1">
      <c r="A4" s="53" t="s">
        <v>575</v>
      </c>
      <c r="B4" s="53" t="s">
        <v>576</v>
      </c>
      <c r="C4" s="53" t="s">
        <v>577</v>
      </c>
      <c r="D4" s="53" t="s">
        <v>578</v>
      </c>
    </row>
    <row r="5" spans="1:4" ht="40.799999999999997" thickBot="1">
      <c r="A5" s="53" t="s">
        <v>579</v>
      </c>
      <c r="B5" s="53" t="s">
        <v>580</v>
      </c>
      <c r="C5" s="53" t="s">
        <v>581</v>
      </c>
      <c r="D5" s="53" t="s">
        <v>582</v>
      </c>
    </row>
    <row r="6" spans="1:4" ht="27.6" thickBot="1">
      <c r="A6" s="53" t="s">
        <v>583</v>
      </c>
      <c r="B6" s="53" t="s">
        <v>584</v>
      </c>
      <c r="C6" s="53" t="s">
        <v>585</v>
      </c>
      <c r="D6" s="53" t="s">
        <v>586</v>
      </c>
    </row>
    <row r="7" spans="1:4" ht="27.6" thickBot="1">
      <c r="A7" s="53" t="s">
        <v>587</v>
      </c>
      <c r="B7" s="53" t="s">
        <v>588</v>
      </c>
      <c r="C7" s="53" t="s">
        <v>589</v>
      </c>
      <c r="D7" s="53" t="s">
        <v>590</v>
      </c>
    </row>
    <row r="8" spans="1:4" ht="27.6" thickBot="1">
      <c r="A8" s="53" t="s">
        <v>591</v>
      </c>
      <c r="B8" s="53" t="s">
        <v>592</v>
      </c>
      <c r="C8" s="53" t="s">
        <v>593</v>
      </c>
      <c r="D8" s="53" t="s">
        <v>594</v>
      </c>
    </row>
    <row r="9" spans="1:4" ht="27.6" thickBot="1">
      <c r="A9" s="53" t="s">
        <v>595</v>
      </c>
      <c r="B9" s="53" t="s">
        <v>596</v>
      </c>
      <c r="C9" s="53" t="s">
        <v>597</v>
      </c>
      <c r="D9" s="53" t="s">
        <v>598</v>
      </c>
    </row>
    <row r="10" spans="1:4" ht="40.799999999999997" thickBot="1">
      <c r="A10" s="53" t="s">
        <v>599</v>
      </c>
      <c r="B10" s="53" t="s">
        <v>600</v>
      </c>
      <c r="C10" s="53" t="s">
        <v>601</v>
      </c>
      <c r="D10" s="53" t="s">
        <v>602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Tasks Guidline</vt:lpstr>
      <vt:lpstr>Current Tasks</vt:lpstr>
      <vt:lpstr>פרטי משתמש</vt:lpstr>
      <vt:lpstr>Internal Traits</vt:lpstr>
      <vt:lpstr>internal traits - Old</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lpstr>בדיקות</vt:lpstr>
      <vt:lpstr>שאלות לפי מלווה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2026-04-23T10:52:07Z</dcterms:modified>
</cp:coreProperties>
</file>