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DEC5BE17-AEB0-4852-AFCB-9947326E2580}" xr6:coauthVersionLast="47" xr6:coauthVersionMax="47" xr10:uidLastSave="{00000000-0000-0000-0000-000000000000}"/>
  <bookViews>
    <workbookView xWindow="-108" yWindow="-108" windowWidth="23256" windowHeight="12456" activeTab="3" xr2:uid="{00000000-000D-0000-FFFF-FFFF00000000}"/>
  </bookViews>
  <sheets>
    <sheet name="Tasks Guidline" sheetId="12" r:id="rId1"/>
    <sheet name="Current Tasks" sheetId="16" r:id="rId2"/>
    <sheet name="פרטי משתמש" sheetId="3" r:id="rId3"/>
    <sheet name="Internal Traits" sheetId="1" r:id="rId4"/>
    <sheet name="internal traits - Old" sheetId="14" r:id="rId5"/>
    <sheet name="מאפיינים חיצוניים - כללי" sheetId="5" r:id="rId6"/>
    <sheet name="משתמש - מאפיינים" sheetId="2" r:id="rId7"/>
    <sheet name="בניית ציונים" sheetId="9" r:id="rId8"/>
    <sheet name="אלגוריתם ציון פנימי" sheetId="4" r:id="rId9"/>
    <sheet name="אלגוריתם ציון חיצוני" sheetId="6" r:id="rId10"/>
    <sheet name="אלגוריתם שידוכים" sheetId="7" r:id="rId11"/>
    <sheet name="טופס הזנה" sheetId="8" r:id="rId12"/>
    <sheet name="טבלאות דאטה" sheetId="11" r:id="rId13"/>
    <sheet name="שאלות עבור הAI" sheetId="10" r:id="rId14"/>
    <sheet name="בדיקות" sheetId="13" r:id="rId15"/>
    <sheet name="שאלות לפי מלווה" sheetId="15" r:id="rId16"/>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<sst xmlns="http://schemas.openxmlformats.org/spreadsheetml/2006/main" count="1383" uniqueCount="814">
  <si>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</si>
  <si>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</si>
  <si>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</si>
  <si>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</si>
  <si>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</si>
  <si>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</si>
  <si>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</si>
  <si>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</si>
  <si>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</si>
  <si>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</si>
  <si>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</si>
  <si>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</si>
  <si>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</si>
  <si>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</si>
  <si>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</si>
  <si>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משפחתיות</t>
  </si>
  <si>
    <t>party_orientation</t>
  </si>
  <si>
    <t>נהנתנות בליינית</t>
  </si>
  <si>
    <t>אהבה ליוקרה ונוחות</t>
  </si>
  <si>
    <t>luxury_orientation</t>
  </si>
  <si>
    <t>נהנתנות יוקרתית</t>
  </si>
  <si>
    <t>energy_level</t>
  </si>
  <si>
    <t>אנרגטיות</t>
  </si>
  <si>
    <t>analytical_tendency</t>
  </si>
  <si>
    <t>אנליטיות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</si>
  <si>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</si>
  <si>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</si>
  <si>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</si>
  <si>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</si>
  <si>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</si>
  <si>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</si>
  <si>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</si>
  <si>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</si>
  <si>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</si>
  <si>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</si>
  <si>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</si>
  <si>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</si>
  <si>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</si>
  <si>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</si>
  <si>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</si>
  <si>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</si>
  <si>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</si>
  <si>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</si>
  <si>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</si>
  <si>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</si>
  <si>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</si>
  <si>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</si>
  <si>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</si>
  <si>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</si>
  <si>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</si>
  <si>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</si>
  <si>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</si>
  <si>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</si>
  <si>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</si>
  <si>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</si>
  <si>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</si>
  <si>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</si>
  <si>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</si>
  <si>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</si>
  <si>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</si>
  <si>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</si>
  <si>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</si>
  <si>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</si>
  <si>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</si>
  <si>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</si>
  <si>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</si>
  <si>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</si>
  <si>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</si>
  <si>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</si>
  <si>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</si>
  <si>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</si>
  <si>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</si>
  <si>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</si>
  <si>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</si>
  <si>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</si>
  <si>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</si>
  <si>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</si>
  <si>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</si>
  <si>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</si>
  <si>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</si>
  <si>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</si>
  <si>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</si>
  <si>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</si>
  <si>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</si>
  <si>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</si>
  <si>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</si>
  <si>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</si>
  <si>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</si>
  <si>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</si>
  <si>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</si>
  <si>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</si>
  <si>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</si>
  <si>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</si>
  <si>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</si>
  <si>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</si>
  <si>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</si>
  <si>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</si>
  <si>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</si>
  <si>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</si>
  <si>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</si>
  <si>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</si>
  <si>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</si>
  <si>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</si>
  <si>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</si>
  <si>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</si>
  <si>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</si>
  <si>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</si>
  <si>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</si>
  <si>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</si>
  <si>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</si>
  <si>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</si>
  <si>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</si>
  <si>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</si>
  <si>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</si>
  <si>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</si>
  <si>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</si>
  <si>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</si>
  <si>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</si>
  <si>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</si>
  <si>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</si>
  <si>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</si>
  <si>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</si>
  <si>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</si>
  <si>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</si>
  <si>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</si>
  <si>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</si>
  <si>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</si>
  <si>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</si>
  <si>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</si>
  <si>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</si>
  <si>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</si>
  <si>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</si>
  <si>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</si>
  <si>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</si>
  <si>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</si>
  <si>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</si>
  <si>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</si>
  <si>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</si>
  <si>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</si>
  <si>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</si>
  <si>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</si>
  <si>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</si>
  <si>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</si>
  <si>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</si>
  <si>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</si>
  <si>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</si>
  <si>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</si>
  <si>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</si>
  <si>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</si>
  <si>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</si>
  <si>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</si>
  <si>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</si>
  <si>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</si>
  <si>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</si>
  <si>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</si>
  <si>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</si>
  <si>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</si>
  <si>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</si>
  <si>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</si>
  <si>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</si>
  <si>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</si>
  <si>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</si>
  <si>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</si>
  <si>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</si>
  <si>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</si>
  <si>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</si>
  <si>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</si>
  <si>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</si>
  <si>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</si>
  <si>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</si>
  <si>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</si>
  <si>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</si>
  <si>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</si>
  <si>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</si>
  <si>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</si>
  <si>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</si>
  <si>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</si>
  <si>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</si>
  <si>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</si>
  <si>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</si>
  <si>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</si>
  <si>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</si>
  <si>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</si>
  <si>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</si>
  <si>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</si>
  <si>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</si>
  <si>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</si>
  <si>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</si>
  <si>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</si>
  <si>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</si>
  <si>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</si>
  <si>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</si>
  <si>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</si>
  <si>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</si>
  <si>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</si>
  <si>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</si>
  <si>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</si>
  <si>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</si>
  <si>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</si>
  <si>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</si>
  <si>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</si>
  <si>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</si>
  <si>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</si>
  <si>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</si>
  <si>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</si>
  <si>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</si>
  <si>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</si>
  <si>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</si>
  <si>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</si>
  <si>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</si>
  <si>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</si>
  <si>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</si>
  <si>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</si>
  <si>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</si>
  <si>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</si>
  <si>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</si>
  <si>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</si>
  <si>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</si>
  <si>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</si>
  <si>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</si>
  <si>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</si>
  <si>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</si>
  <si>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</si>
  <si>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</si>
  <si>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</si>
  <si>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</si>
  <si>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</si>
  <si>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</si>
  <si>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</si>
  <si>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</si>
  <si>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</si>
  <si>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</si>
  <si>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</si>
  <si>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</si>
  <si>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</si>
  <si>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</si>
  <si>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</si>
  <si>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</si>
  <si>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</si>
  <si>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</si>
  <si>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</si>
  <si>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</si>
  <si>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</si>
  <si>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</si>
  <si>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</si>
  <si>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</si>
  <si>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</si>
  <si>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</si>
  <si>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</si>
  <si>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</si>
  <si>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</si>
  <si>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</si>
  <si>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</si>
  <si>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</si>
  <si>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</si>
  <si>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</si>
  <si>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</si>
  <si>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</si>
  <si>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</si>
  <si>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</si>
  <si>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</si>
  <si>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</si>
  <si>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</si>
  <si>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</si>
  <si>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</si>
  <si>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</si>
  <si>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</si>
  <si>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</si>
  <si>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</si>
  <si>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DealBrakers</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</si>
  <si>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</si>
  <si>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</si>
  <si>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</si>
  <si>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</si>
  <si>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</si>
  <si>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</si>
  <si>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</si>
  <si>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</si>
  <si>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</si>
  <si>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</si>
  <si>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</si>
  <si>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</si>
  <si>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</si>
  <si>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</si>
  <si>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</si>
  <si>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</si>
  <si>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</si>
  <si>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</si>
  <si>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</si>
  <si>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</si>
  <si>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</si>
  <si>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</si>
  <si>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</si>
  <si>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</si>
  <si>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</si>
  <si>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</si>
  <si>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</si>
  <si>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</si>
  <si>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</si>
  <si>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</si>
  <si>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</si>
  <si>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</si>
  <si>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</si>
  <si>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</si>
  <si>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</si>
  <si>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</si>
  <si>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</si>
  <si>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</si>
  <si>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</si>
  <si>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</si>
  <si>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</si>
  <si>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</si>
  <si>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</si>
  <si>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</si>
  <si>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</si>
  <si>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</si>
  <si>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</si>
  <si>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</si>
  <si>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</si>
  <si>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</si>
  <si>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</si>
  <si>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</si>
  <si>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</si>
  <si>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</si>
  <si>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</si>
  <si>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</si>
  <si>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</si>
  <si>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</si>
  <si>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</si>
  <si>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</si>
  <si>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</si>
  <si>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</si>
  <si>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</si>
  <si>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</si>
  <si>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</si>
  <si>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</si>
  <si>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</si>
  <si>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</si>
  <si>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</si>
  <si>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</si>
  <si>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</si>
  <si>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</si>
  <si>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</si>
  <si>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</si>
  <si>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</si>
  <si>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</si>
  <si>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</si>
  <si>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</si>
  <si>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</si>
  <si>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</si>
  <si>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</si>
  <si>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</si>
  <si>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</si>
  <si>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</si>
  <si>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</si>
  <si>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</si>
  <si>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</si>
  <si>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</si>
  <si>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</si>
  <si>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</si>
  <si>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</si>
  <si>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</si>
  <si>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</si>
  <si>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</si>
  <si>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</si>
  <si>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</si>
  <si>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</si>
  <si>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</si>
  <si>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</si>
  <si>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</si>
  <si>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</si>
  <si>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</si>
  <si>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</si>
  <si>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</si>
  <si>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</si>
  <si>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</si>
  <si>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</si>
  <si>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</si>
  <si>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</si>
  <si>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</si>
  <si>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</si>
  <si>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</si>
  <si>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</si>
  <si>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</si>
  <si>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</si>
  <si>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</si>
  <si>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</si>
  <si>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</si>
  <si>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</si>
  <si>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</si>
  <si>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</si>
  <si>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</si>
  <si>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</si>
  <si>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</si>
  <si>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</si>
  <si>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</si>
  <si>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</si>
  <si>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</si>
  <si>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</si>
  <si>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</si>
  <si>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</si>
  <si>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</si>
  <si>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</si>
  <si>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</si>
  <si>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</si>
  <si>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</si>
  <si>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</si>
  <si>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</si>
  <si>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</si>
  <si>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</si>
  <si>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</si>
  <si>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</si>
  <si>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</si>
  <si>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</si>
  <si>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</si>
  <si>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</si>
  <si>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</si>
  <si>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</si>
  <si>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</si>
  <si>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</si>
  <si>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</si>
  <si>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</si>
  <si>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</si>
  <si>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</si>
  <si>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</si>
  <si>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</si>
  <si>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</si>
  <si>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</si>
  <si>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</si>
  <si>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</si>
  <si>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</si>
  <si>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</si>
  <si>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</si>
  <si>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</si>
  <si>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</si>
  <si>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אינטלקטואליות</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</si>
  <si>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</si>
  <si>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</si>
  <si>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</si>
  <si>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</si>
  <si>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</si>
  <si>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</si>
  <si>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</si>
  <si>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</si>
  <si>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</si>
  <si>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</si>
  <si>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</si>
  <si>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</si>
  <si>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</si>
  <si>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</si>
  <si>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</si>
  <si>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</si>
  <si>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</si>
  <si>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</si>
  <si>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</si>
  <si>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</si>
  <si>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</si>
  <si>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</si>
  <si>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</si>
  <si>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</si>
  <si>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</si>
  <si>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</si>
  <si>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</si>
  <si>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</si>
  <si>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</si>
  <si>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</si>
  <si>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</si>
  <si>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</si>
  <si>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</si>
  <si>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</si>
  <si>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</si>
  <si>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</si>
  <si>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</si>
  <si>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</si>
  <si>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</si>
  <si>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</si>
  <si>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</si>
  <si>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</si>
  <si>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</si>
  <si>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</si>
  <si>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</si>
  <si>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</si>
  <si>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</si>
  <si>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</si>
  <si>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</si>
  <si>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</si>
  <si>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</si>
  <si>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</si>
  <si>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</si>
  <si>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</si>
  <si>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</si>
  <si>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</si>
  <si>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</si>
  <si>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</si>
  <si>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</si>
  <si>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</si>
  <si>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</si>
  <si>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</si>
  <si>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</si>
  <si>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</si>
  <si>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</si>
  <si>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</si>
  <si>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</si>
  <si>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</si>
  <si>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</si>
  <si>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</si>
  <si>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</si>
  <si>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</si>
  <si>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</si>
  <si>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</si>
  <si>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</si>
  <si>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</si>
  <si>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</si>
  <si>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</si>
  <si>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</si>
  <si>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</si>
  <si>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</si>
  <si>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</si>
  <si>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</si>
  <si>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</si>
  <si>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</si>
  <si>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</si>
  <si>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</si>
  <si>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</si>
  <si>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</si>
  <si>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</si>
  <si>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</si>
  <si>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</si>
  <si>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</si>
  <si>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</si>
  <si>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</si>
  <si>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</si>
  <si>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</si>
  <si>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</si>
  <si>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</si>
  <si>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</si>
  <si>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</si>
  <si>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</si>
  <si>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</si>
  <si>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</si>
  <si>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</si>
  <si>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</si>
  <si>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</si>
  <si>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</si>
  <si>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</si>
  <si>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</si>
  <si>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</si>
  <si>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</si>
  <si>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</si>
  <si>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</si>
  <si>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</si>
  <si>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</si>
  <si>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</si>
  <si>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</si>
  <si>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</si>
  <si>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</si>
  <si>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</si>
  <si>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</si>
  <si>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</si>
  <si>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</si>
  <si>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</si>
  <si>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</si>
  <si>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</si>
  <si>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</si>
  <si>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</si>
  <si>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</si>
  <si>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</si>
  <si>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</si>
  <si>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</si>
  <si>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</si>
  <si>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</si>
  <si>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</si>
  <si>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</si>
  <si>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</si>
  <si>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</si>
  <si>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</si>
  <si>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</si>
  <si>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</si>
  <si>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</si>
  <si>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</si>
  <si>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</si>
  <si>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</si>
  <si>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</si>
  <si>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</si>
  <si>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</si>
  <si>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</si>
  <si>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</si>
  <si>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</si>
  <si>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</si>
  <si>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</si>
  <si>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</si>
  <si>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</si>
  <si>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</si>
  <si>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</si>
  <si>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</si>
  <si>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</si>
  <si>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</si>
  <si>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</si>
  <si>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</si>
  <si>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</si>
  <si>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</si>
  <si>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</si>
  <si>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</si>
  <si>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</si>
  <si>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</si>
  <si>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</si>
  <si>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</si>
  <si>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</si>
  <si>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</si>
  <si>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</si>
  <si>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</si>
  <si>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</si>
  <si>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</si>
  <si>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</si>
  <si>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</si>
  <si>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</si>
  <si>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</si>
  <si>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</si>
  <si>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</si>
  <si>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</si>
  <si>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</si>
  <si>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</si>
  <si>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</si>
  <si>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</si>
  <si>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</si>
  <si>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</si>
  <si>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</si>
  <si>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</si>
  <si>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</si>
  <si>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</si>
  <si>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</si>
  <si>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</si>
  <si>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</si>
  <si>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</si>
  <si>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</si>
  <si>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</si>
  <si>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</si>
  <si>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</si>
  <si>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</si>
  <si>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</si>
  <si>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</si>
  <si>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</si>
  <si>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</si>
  <si>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</si>
  <si>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</si>
  <si>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</si>
  <si>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</si>
  <si>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</si>
  <si>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</si>
  <si>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</si>
  <si>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</si>
  <si>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</si>
  <si>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</si>
  <si>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</si>
  <si>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</si>
  <si>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</si>
  <si>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</si>
  <si>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</si>
  <si>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</si>
  <si>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</si>
  <si>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</si>
  <si>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</si>
  <si>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</si>
  <si>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</si>
  <si>
    <t>Emotional Intensity</t>
  </si>
  <si>
    <t>Communication Softness</t>
  </si>
  <si>
    <t>Tonal Balance</t>
  </si>
  <si>
    <t>שילוב</t>
  </si>
  <si>
    <t>Tonal Stability</t>
  </si>
  <si>
    <t>Depth Authenticity</t>
  </si>
  <si>
    <t>Cliché Density</t>
  </si>
  <si>
    <t>Authenticity</t>
  </si>
  <si>
    <t>Communication Style</t>
  </si>
  <si>
    <t>לא ברור מה הרמות פה</t>
  </si>
  <si>
    <t>Refinement Level</t>
  </si>
  <si>
    <t>Cognitive Signal in Humor</t>
  </si>
  <si>
    <t>Humor Depth</t>
  </si>
  <si>
    <t>Signal Coherence</t>
  </si>
  <si>
    <t>Verbal Precision</t>
  </si>
  <si>
    <t>Depth of Expression</t>
  </si>
  <si>
    <t>Emotional Authenticity</t>
  </si>
  <si>
    <t>Multi-Dimensionality</t>
  </si>
  <si>
    <t>Intent Expression Style</t>
  </si>
  <si>
    <t>Communication Clarity</t>
  </si>
  <si>
    <t>Communication Structure</t>
  </si>
  <si>
    <t>Communication Refinement</t>
  </si>
  <si>
    <t>Cultural / Style Signal</t>
  </si>
  <si>
    <t>גם כאן לא ברור מה הרמות</t>
  </si>
  <si>
    <t>גיבויים אוטומטים</t>
  </si>
  <si>
    <t>הפרדה בין טסט לפרוד</t>
  </si>
  <si>
    <t>פרופיל קוגנטיבי, פרופיל רגשי</t>
  </si>
  <si>
    <t>פרופיל קוגנטיבי, סגנון</t>
  </si>
  <si>
    <t>ערכים, סגנון</t>
  </si>
  <si>
    <t>ביג פייב</t>
  </si>
  <si>
    <t>פרופיל רגשי/סגנון</t>
  </si>
  <si>
    <t xml:space="preserve">לפי מודל Big Five </t>
  </si>
  <si>
    <t xml:space="preserve">Extraversion </t>
  </si>
  <si>
    <t>מוחצנות</t>
  </si>
  <si>
    <t>הערכת מופנמות / מוחצנות כסגנון ביטוי לפי מודל הביג פייב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</si>
  <si>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דיל ברייקרס ויתרונות אפשריים</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</si>
  <si>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 high_income (הכנסה גבוהה)
-low_income
חוקים:
-אם זוהה מאפיין אחד מהרשימה באופן ברור → יש להחזיר אותו (גם אם זה היחיד)
- אם אין אינדיקציה ברורה → להחזיר ריק</t>
  </si>
  <si>
    <t>דרמטיות</t>
  </si>
  <si>
    <t>תיאטרליות</t>
  </si>
  <si>
    <t>צ'יל</t>
  </si>
  <si>
    <t>קשיחות</t>
  </si>
  <si>
    <t>עצמה רגשית</t>
  </si>
  <si>
    <t>רכות/עדינות</t>
  </si>
  <si>
    <t>טון מאוזן</t>
  </si>
  <si>
    <t>אוטנתיות</t>
  </si>
  <si>
    <t>דיוק מילולי</t>
  </si>
  <si>
    <t>עומק ביטוי</t>
  </si>
  <si>
    <t>בהירות בתקשורת</t>
  </si>
  <si>
    <t>עידון בדיבור</t>
  </si>
  <si>
    <t>חמידות</t>
  </si>
  <si>
    <t>פרופיל רגשית</t>
  </si>
  <si>
    <t>פרופיל קוגגנטיבי</t>
  </si>
  <si>
    <t>Agreeableness</t>
  </si>
  <si>
    <t>Conscientiousness</t>
  </si>
  <si>
    <t>Neuroticism</t>
  </si>
  <si>
    <t>נוירוטיות</t>
  </si>
  <si>
    <t>OpennessToExperience</t>
  </si>
  <si>
    <t>פתיחות לחוויה</t>
  </si>
  <si>
    <t>שוורץ</t>
  </si>
  <si>
    <t>Hedonism</t>
  </si>
  <si>
    <t>נהנתנות</t>
  </si>
  <si>
    <t>Achievement</t>
  </si>
  <si>
    <t>הישגיות</t>
  </si>
  <si>
    <t>Power</t>
  </si>
  <si>
    <t>כוח</t>
  </si>
  <si>
    <t>מעמד ומוניטין חברתי, שליטה או שלטון על אנשים.</t>
  </si>
  <si>
    <t>הצלחה אישית באמצעות מומחיות לפי סטנדרטים חברתיים.</t>
  </si>
  <si>
    <t>הנאה או סיפוק החושים.</t>
  </si>
  <si>
    <t>Self-direction</t>
  </si>
  <si>
    <t>Stimulation</t>
  </si>
  <si>
    <t>כיוון עצמי</t>
  </si>
  <si>
    <t>גרייה</t>
  </si>
  <si>
    <t>התרגשות, חידוש ואתגר בחיים.</t>
  </si>
  <si>
    <t>מחשבה ופעולה עצמאית: בחירה, יצירה וחקירה.</t>
  </si>
  <si>
    <t>Security</t>
  </si>
  <si>
    <t>בטיחות, הרמוניה ויציבות בחברה, ביחסים ובעצמי.</t>
  </si>
  <si>
    <t>שליטה במעשים, בנטיות ובדחפים אשר עלולים לפגוע באחרים ולהפר ציפיות ונורמות חברתיות.</t>
  </si>
  <si>
    <t> כבוד, התחייבות וקבלת המנהגים והרעיונות של החברה.</t>
  </si>
  <si>
    <t>מסורת</t>
  </si>
  <si>
    <t>Tradition</t>
  </si>
  <si>
    <t>Benevolence</t>
  </si>
  <si>
    <t>נדיבות</t>
  </si>
  <si>
    <t>Universalism</t>
  </si>
  <si>
    <t>אוניברסליות</t>
  </si>
  <si>
    <t>שימור והעצמת בריאותם של האנשים הקרובים אליך.</t>
  </si>
  <si>
    <t>הבנה, הערכה, סבילה והגנה לבריאות כל האנשים והטבע.</t>
  </si>
  <si>
    <t>ביטחון</t>
  </si>
  <si>
    <t>Spirituality</t>
  </si>
  <si>
    <t>רוחניות</t>
  </si>
  <si>
    <t>Analytical Thinking</t>
  </si>
  <si>
    <t>Abstract Thinking</t>
  </si>
  <si>
    <t>Cognitive Flexibility</t>
  </si>
  <si>
    <t>Verbal Reasoning</t>
  </si>
  <si>
    <t>Depth of Thought</t>
  </si>
  <si>
    <t>Intellectual Openness</t>
  </si>
  <si>
    <t>Conceptual Clarity</t>
  </si>
  <si>
    <t>Pattern Recognition</t>
  </si>
  <si>
    <t>זיהוי דפוסים</t>
  </si>
  <si>
    <t>בהירות מושגית</t>
  </si>
  <si>
    <t>פתיחות אינטלקטואלית</t>
  </si>
  <si>
    <t>עומק מחשבתי</t>
  </si>
  <si>
    <t>הסקה מילולית</t>
  </si>
  <si>
    <t>גמישות מחשבתית</t>
  </si>
  <si>
    <t>חשיבה מופשטת</t>
  </si>
  <si>
    <t>חשיבה אנליטית</t>
  </si>
  <si>
    <t>Career Prestige</t>
  </si>
  <si>
    <t>Intellectualism</t>
  </si>
  <si>
    <t>Verbal Expression Ability</t>
  </si>
  <si>
    <t>Directness</t>
  </si>
  <si>
    <t>ישירות</t>
  </si>
  <si>
    <t>עדינות</t>
  </si>
  <si>
    <t>רכות</t>
  </si>
  <si>
    <t>Communication Tone</t>
  </si>
  <si>
    <t>Group</t>
  </si>
  <si>
    <t>Cognitive Profile</t>
  </si>
  <si>
    <t>Harsh talk</t>
  </si>
  <si>
    <t>Big Five</t>
  </si>
  <si>
    <t>Schwartz values</t>
  </si>
  <si>
    <t xml:space="preserve">ערכים </t>
  </si>
  <si>
    <t>Emotional Profile</t>
  </si>
  <si>
    <t>קבוצות נוספות</t>
  </si>
  <si>
    <t>social_activism</t>
  </si>
  <si>
    <t>אותנטיות</t>
  </si>
  <si>
    <t>Personal Style</t>
  </si>
  <si>
    <t>right wing</t>
  </si>
  <si>
    <t>left wing</t>
  </si>
  <si>
    <t>טיפוס מסיבתי</t>
  </si>
  <si>
    <t>עד כמה המראה החיצוני של בן/בת זוג הוא גורם חשוב ומשמעותי עבור המשתמש.</t>
  </si>
  <si>
    <t xml:space="preserve">
עד כמה המשתמש משדר סגנון וטעם תרבותי אלטרנטיבי, אינדי או "היפסטרי" — כלומר העדפה לדברים לא מיינסטרימיים, נישתיים או ייחודיים</t>
  </si>
  <si>
    <t xml:space="preserve">
עד כמה המשתמש מתחבר לעולמות תוכן המזוהים עם תרבות גיקית — כמו טכנולוגיה, גיימינג, מדע בדיוני, פנטזיה, קומיקס או תחומי עניין דומים.</t>
  </si>
  <si>
    <t>עד כמה המשתמש מתחבר לסגנון חיים "היפי" — הכולל עניין ברוחניות, סדנאות, התפתחות אישית, טבע וטבעיות.</t>
  </si>
  <si>
    <t xml:space="preserve">הערכת סגנון תרבותי־רוסי (יוצאי ברה״מ)
- אם המשתמש מציין מוצא רוסי/אוקראיני → העלה ציון משמעותית
- אם יש גם הזדהות תרבותית → העלה ציון עוד יותר
</t>
  </si>
  <si>
    <t>Dramatic Intensity</t>
  </si>
  <si>
    <t>Theatricality</t>
  </si>
  <si>
    <t>Energy Level</t>
  </si>
  <si>
    <t>מידת דתיות</t>
  </si>
  <si>
    <t>General Info</t>
  </si>
  <si>
    <t>vegetarian</t>
  </si>
  <si>
    <t>Toxicity</t>
  </si>
  <si>
    <t>Trollness</t>
  </si>
  <si>
    <t>זיהוי רעילות (התנהגות מסוכנת).
המטרה לזהות משתמשים שמבטאים רמות גבוהות של רעילות, תוקפנות או התנהגות שעלולה להיות בעייתית במערכת — לצורך ניטור ובקרה בלבד</t>
  </si>
  <si>
    <t>זיהוי טרוליות.
לזהות האם המשתמש באמת מחפש שידוך ומשתף פעולה עם המערכת, או שמא הוא עונה בצורה לא כנה, ממציא, משחק עם המערכת או מטריל אותה</t>
  </si>
  <si>
    <t>לזהות האם המשתמש הצהיר באופן מפורש על היותו טרנס/ית או א-מיני.
- רק הצהרה מפורשת → ציון גבוה</t>
  </si>
  <si>
    <t>Trans</t>
  </si>
  <si>
    <t>Speciallnfo</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</si>
  <si>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</si>
  <si>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 xml:space="preserve">Emotional Stability </t>
  </si>
  <si>
    <t>Emotional Stability should reflect internal regulation, not external behavior.
A user may appear calm, polite, or socially smooth,
but still show signs of inner reactivity, suppressed emotion, or emotional volatility.
Look for:
- internal tension
- emotional buildup
- reactive patterns
- indirect expression (e.g. sarcasm)</t>
  </si>
  <si>
    <t>Analytical Thinking should be based on evidence of structured reasoning:
- breaking down situations into components
- explaining cause and effect
- identifying mechanisms or underlying structure
Do NOT base this trait on:
- general clarity
- emotional understanding
- social reasoning
- politeness or balanced answers</t>
  </si>
  <si>
    <t>Self-awareness is indicated by the ability to recognize and articulate one's own weaknesses, emotional patterns, and internal conflicts.
Users who openly describe their own flaws, reactivity, or emotional struggles should be scored higher in self-awareness.
Do NOT assume that a user who presents only positive, balanced, or socially desirable responses has high self-awareness.
Lack of negative self-reflection may indicate:
- low self-awareness
- impression management
- or limited introspection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</si>
</sst>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
      <sz val="10"/>
      <color rgb="FF202122"/>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58">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xf numFmtId="0" fontId="0" fillId="0" borderId="0" xfId="0" applyFont="1"/>
    <xf numFmtId="0" fontId="2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32"/>
  <sheetViews>
    <sheetView rightToLeft="1" topLeftCell="A11" workbookViewId="0">
      <selection activeCell="A28" sqref="A28"/>
    </sheetView>
  </sheetViews>
  <sheetFormatPr defaultRowHeight="14.4"/>
  <cols>
    <col min="1" max="1" width="19.33203125" customWidth="1"/>
    <col min="2" max="2" width="18.33203125" customWidth="1"/>
    <col min="3" max="3" width="15.88671875" customWidth="1"/>
    <col min="4" max="4" width="50.44140625" customWidth="1"/>
  </cols>
  <sheetData>
    <row r="1" spans="1:4">
      <c r="A1" s="35" t="s">
        <v>389</v>
      </c>
      <c r="B1" s="35" t="s">
        <v>390</v>
      </c>
      <c r="C1" s="35" t="s">
        <v>84</v>
      </c>
      <c r="D1" s="35" t="s">
        <v>391</v>
      </c>
    </row>
    <row r="2" spans="1:4">
      <c r="A2" t="s">
        <v>392</v>
      </c>
      <c r="B2" t="s">
        <v>393</v>
      </c>
      <c r="C2" t="s">
        <v>396</v>
      </c>
    </row>
    <row r="3" spans="1:4">
      <c r="A3" t="s">
        <v>392</v>
      </c>
      <c r="B3" t="s">
        <v>395</v>
      </c>
      <c r="C3" t="s">
        <v>402</v>
      </c>
      <c r="D3" t="s">
        <v>397</v>
      </c>
    </row>
    <row r="4" spans="1:4">
      <c r="A4" t="s">
        <v>392</v>
      </c>
      <c r="B4" t="s">
        <v>394</v>
      </c>
      <c r="C4" t="s">
        <v>405</v>
      </c>
      <c r="D4" t="s">
        <v>398</v>
      </c>
    </row>
    <row r="5" spans="1:4">
      <c r="A5" t="s">
        <v>468</v>
      </c>
      <c r="B5" t="s">
        <v>469</v>
      </c>
      <c r="C5" t="s">
        <v>402</v>
      </c>
      <c r="D5" t="s">
        <v>470</v>
      </c>
    </row>
    <row r="6" spans="1:4">
      <c r="A6" t="s">
        <v>399</v>
      </c>
      <c r="C6" t="s">
        <v>396</v>
      </c>
      <c r="D6" t="s">
        <v>663</v>
      </c>
    </row>
    <row r="7" spans="1:4">
      <c r="A7" t="s">
        <v>400</v>
      </c>
      <c r="B7" t="s">
        <v>401</v>
      </c>
      <c r="C7" t="s">
        <v>396</v>
      </c>
    </row>
    <row r="8" spans="1:4">
      <c r="A8" t="s">
        <v>400</v>
      </c>
      <c r="B8" t="s">
        <v>403</v>
      </c>
      <c r="C8" t="s">
        <v>396</v>
      </c>
    </row>
    <row r="9" spans="1:4">
      <c r="A9" t="s">
        <v>400</v>
      </c>
      <c r="B9" t="s">
        <v>404</v>
      </c>
      <c r="C9" s="14" t="s">
        <v>405</v>
      </c>
    </row>
    <row r="10" spans="1:4">
      <c r="A10" t="s">
        <v>409</v>
      </c>
      <c r="C10" t="s">
        <v>396</v>
      </c>
      <c r="D10" s="5"/>
    </row>
    <row r="11" spans="1:4">
      <c r="A11" t="s">
        <v>406</v>
      </c>
      <c r="B11" t="s">
        <v>407</v>
      </c>
      <c r="C11" t="s">
        <v>402</v>
      </c>
      <c r="D11" t="s">
        <v>408</v>
      </c>
    </row>
    <row r="12" spans="1:4">
      <c r="A12" t="s">
        <v>412</v>
      </c>
      <c r="B12" t="s">
        <v>614</v>
      </c>
      <c r="C12" t="s">
        <v>402</v>
      </c>
    </row>
    <row r="13" spans="1:4">
      <c r="A13" t="s">
        <v>615</v>
      </c>
      <c r="B13" t="s">
        <v>616</v>
      </c>
      <c r="C13" t="s">
        <v>396</v>
      </c>
    </row>
    <row r="14" spans="1:4">
      <c r="A14" t="s">
        <v>618</v>
      </c>
    </row>
    <row r="15" spans="1:4">
      <c r="A15" t="s">
        <v>406</v>
      </c>
      <c r="B15" t="s">
        <v>454</v>
      </c>
      <c r="C15" t="s">
        <v>402</v>
      </c>
      <c r="D15" t="s">
        <v>455</v>
      </c>
    </row>
    <row r="16" spans="1:4">
      <c r="A16" t="s">
        <v>406</v>
      </c>
      <c r="B16" t="s">
        <v>456</v>
      </c>
      <c r="C16" t="s">
        <v>457</v>
      </c>
    </row>
    <row r="17" spans="1:4">
      <c r="A17" t="s">
        <v>406</v>
      </c>
      <c r="B17" t="s">
        <v>463</v>
      </c>
      <c r="D17" t="s">
        <v>660</v>
      </c>
    </row>
    <row r="18" spans="1:4">
      <c r="A18" t="s">
        <v>617</v>
      </c>
      <c r="B18" t="s">
        <v>458</v>
      </c>
    </row>
    <row r="19" spans="1:4">
      <c r="A19" t="s">
        <v>406</v>
      </c>
      <c r="B19" t="s">
        <v>459</v>
      </c>
    </row>
    <row r="20" spans="1:4">
      <c r="A20" t="s">
        <v>406</v>
      </c>
      <c r="B20" t="s">
        <v>460</v>
      </c>
    </row>
    <row r="21" spans="1:4">
      <c r="A21" t="s">
        <v>461</v>
      </c>
      <c r="B21" t="s">
        <v>462</v>
      </c>
    </row>
    <row r="22" spans="1:4">
      <c r="A22" t="s">
        <v>464</v>
      </c>
    </row>
    <row r="23" spans="1:4">
      <c r="A23" t="s">
        <v>465</v>
      </c>
      <c r="D23" t="s">
        <v>661</v>
      </c>
    </row>
    <row r="24" spans="1:4">
      <c r="A24" t="s">
        <v>466</v>
      </c>
      <c r="D24" t="s">
        <v>662</v>
      </c>
    </row>
    <row r="25" spans="1:4">
      <c r="A25" t="s">
        <v>467</v>
      </c>
    </row>
    <row r="26" spans="1:4">
      <c r="A26" t="s">
        <v>688</v>
      </c>
    </row>
    <row r="27" spans="1:4">
      <c r="A27" t="s">
        <v>689</v>
      </c>
    </row>
    <row r="31" spans="1:4">
      <c r="A31" t="s">
        <v>619</v>
      </c>
    </row>
    <row r="32" spans="1:4">
      <c r="A32" t="s">
        <v>620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8" sqref="B18"/>
    </sheetView>
  </sheetViews>
  <sheetFormatPr defaultRowHeight="14.4"/>
  <cols>
    <col min="1" max="1" width="12.33203125" customWidth="1"/>
    <col min="2" max="2" width="39.21875" customWidth="1"/>
    <col min="4" max="4" width="48.44140625" customWidth="1"/>
  </cols>
  <sheetData>
    <row r="1" spans="1:4">
      <c r="A1" s="55" t="s">
        <v>389</v>
      </c>
      <c r="B1" s="55" t="s">
        <v>390</v>
      </c>
      <c r="C1" s="55" t="s">
        <v>84</v>
      </c>
      <c r="D1" s="55" t="s">
        <v>391</v>
      </c>
    </row>
    <row r="2" spans="1:4">
      <c r="A2" t="s">
        <v>621</v>
      </c>
      <c r="B2" t="s">
        <v>638</v>
      </c>
      <c r="C2" t="s">
        <v>402</v>
      </c>
    </row>
    <row r="3" spans="1:4">
      <c r="A3" t="s">
        <v>621</v>
      </c>
      <c r="B3" t="s">
        <v>622</v>
      </c>
    </row>
    <row r="4" spans="1:4">
      <c r="A4" t="s">
        <v>625</v>
      </c>
      <c r="B4" t="s">
        <v>624</v>
      </c>
    </row>
    <row r="5" spans="1:4">
      <c r="A5" t="s">
        <v>626</v>
      </c>
      <c r="B5" t="s">
        <v>623</v>
      </c>
    </row>
    <row r="6" spans="1:4">
      <c r="A6" t="s">
        <v>627</v>
      </c>
      <c r="B6" t="s">
        <v>628</v>
      </c>
    </row>
    <row r="7" spans="1:4">
      <c r="A7" t="s">
        <v>630</v>
      </c>
      <c r="B7" t="s">
        <v>629</v>
      </c>
    </row>
    <row r="8" spans="1:4">
      <c r="A8" t="s">
        <v>626</v>
      </c>
      <c r="B8" t="s">
        <v>631</v>
      </c>
    </row>
    <row r="9" spans="1:4">
      <c r="A9" t="s">
        <v>626</v>
      </c>
      <c r="B9" t="s">
        <v>632</v>
      </c>
    </row>
    <row r="10" spans="1:4">
      <c r="A10" t="s">
        <v>111</v>
      </c>
      <c r="B10" t="s">
        <v>635</v>
      </c>
    </row>
    <row r="11" spans="1:4">
      <c r="A11" t="s">
        <v>111</v>
      </c>
      <c r="B11" t="s">
        <v>633</v>
      </c>
    </row>
    <row r="12" spans="1:4">
      <c r="A12" t="s">
        <v>111</v>
      </c>
      <c r="B12" t="s">
        <v>634</v>
      </c>
    </row>
    <row r="13" spans="1:4">
      <c r="A13" t="s">
        <v>625</v>
      </c>
      <c r="B13" t="s">
        <v>636</v>
      </c>
    </row>
    <row r="14" spans="1:4">
      <c r="A14" t="s">
        <v>406</v>
      </c>
      <c r="B14" t="s">
        <v>637</v>
      </c>
    </row>
    <row r="16" spans="1:4">
      <c r="A16" t="s">
        <v>649</v>
      </c>
      <c r="B16" t="s">
        <v>650</v>
      </c>
    </row>
    <row r="17" spans="1:2">
      <c r="B17" t="s">
        <v>658</v>
      </c>
    </row>
    <row r="18" spans="1:2">
      <c r="A18" t="s">
        <v>651</v>
      </c>
      <c r="B18" t="s">
        <v>652</v>
      </c>
    </row>
    <row r="19" spans="1:2">
      <c r="A19" t="s">
        <v>657</v>
      </c>
      <c r="B19" t="s">
        <v>656</v>
      </c>
    </row>
    <row r="20" spans="1:2">
      <c r="A20" t="s">
        <v>654</v>
      </c>
      <c r="B20" t="s">
        <v>653</v>
      </c>
    </row>
    <row r="21" spans="1:2">
      <c r="A21" t="s">
        <v>406</v>
      </c>
      <c r="B21" t="s">
        <v>655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7" sqref="D7"/>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102</v>
      </c>
      <c r="B1" s="8"/>
      <c r="C1" s="8"/>
      <c r="D1" s="8"/>
      <c r="E1" s="8"/>
      <c r="F1" s="8"/>
      <c r="G1" s="8"/>
      <c r="H1" s="8"/>
      <c r="I1" s="8"/>
    </row>
    <row r="3" spans="1:9">
      <c r="A3" s="10" t="s">
        <v>65</v>
      </c>
      <c r="B3" s="10" t="s">
        <v>66</v>
      </c>
      <c r="C3" s="10" t="s">
        <v>57</v>
      </c>
      <c r="D3" s="10" t="s">
        <v>2</v>
      </c>
      <c r="E3" s="10" t="s">
        <v>108</v>
      </c>
      <c r="F3" s="10" t="s">
        <v>119</v>
      </c>
      <c r="G3" s="10" t="s">
        <v>59</v>
      </c>
      <c r="H3" s="10" t="s">
        <v>245</v>
      </c>
      <c r="I3" s="10" t="s">
        <v>105</v>
      </c>
    </row>
    <row r="4" spans="1:9">
      <c r="A4" s="11" t="s">
        <v>69</v>
      </c>
      <c r="B4" s="11" t="s">
        <v>62</v>
      </c>
      <c r="D4" s="5"/>
      <c r="E4" s="11" t="s">
        <v>67</v>
      </c>
      <c r="F4" s="11"/>
      <c r="G4" s="11" t="s">
        <v>68</v>
      </c>
      <c r="H4" s="11"/>
      <c r="I4" s="8"/>
    </row>
    <row r="5" spans="1:9">
      <c r="A5" s="11" t="s">
        <v>71</v>
      </c>
      <c r="B5" s="11" t="s">
        <v>72</v>
      </c>
      <c r="C5" s="11" t="s">
        <v>8</v>
      </c>
      <c r="D5" s="5"/>
      <c r="E5" s="5" t="s">
        <v>109</v>
      </c>
      <c r="F5" s="5"/>
      <c r="G5" s="11" t="s">
        <v>70</v>
      </c>
      <c r="H5" s="11"/>
      <c r="I5" s="8"/>
    </row>
    <row r="6" spans="1:9" ht="43.2">
      <c r="A6" s="11" t="s">
        <v>73</v>
      </c>
      <c r="B6" s="11" t="s">
        <v>74</v>
      </c>
      <c r="C6" s="11" t="s">
        <v>8</v>
      </c>
      <c r="D6" s="5"/>
      <c r="E6" s="5" t="s">
        <v>109</v>
      </c>
      <c r="F6" s="5" t="s">
        <v>120</v>
      </c>
      <c r="G6" s="11" t="s">
        <v>73</v>
      </c>
      <c r="H6" s="11" t="s">
        <v>280</v>
      </c>
      <c r="I6" s="5"/>
    </row>
    <row r="7" spans="1:9" ht="43.2">
      <c r="A7" s="11" t="s">
        <v>75</v>
      </c>
      <c r="B7" s="11" t="s">
        <v>76</v>
      </c>
      <c r="C7" s="11" t="s">
        <v>8</v>
      </c>
      <c r="D7" s="5" t="s">
        <v>103</v>
      </c>
      <c r="E7" s="5" t="s">
        <v>109</v>
      </c>
      <c r="F7" s="5" t="s">
        <v>120</v>
      </c>
      <c r="G7" s="11" t="s">
        <v>75</v>
      </c>
      <c r="H7" s="11" t="s">
        <v>281</v>
      </c>
      <c r="I7" s="5" t="s">
        <v>268</v>
      </c>
    </row>
    <row r="8" spans="1:9" ht="72">
      <c r="A8" s="11" t="s">
        <v>78</v>
      </c>
      <c r="B8" s="11" t="s">
        <v>79</v>
      </c>
      <c r="C8" s="11" t="s">
        <v>8</v>
      </c>
      <c r="D8" s="5" t="s">
        <v>104</v>
      </c>
      <c r="E8" s="5" t="s">
        <v>109</v>
      </c>
      <c r="F8" s="5" t="s">
        <v>120</v>
      </c>
      <c r="G8" s="11" t="s">
        <v>77</v>
      </c>
      <c r="H8" s="11" t="s">
        <v>246</v>
      </c>
      <c r="I8" s="11" t="s">
        <v>287</v>
      </c>
    </row>
    <row r="9" spans="1:9" ht="28.8">
      <c r="A9" s="11" t="s">
        <v>106</v>
      </c>
      <c r="B9" s="11" t="s">
        <v>107</v>
      </c>
      <c r="C9" s="11" t="s">
        <v>8</v>
      </c>
      <c r="D9" s="5"/>
      <c r="E9" s="5" t="s">
        <v>110</v>
      </c>
      <c r="F9" s="5" t="s">
        <v>120</v>
      </c>
      <c r="G9" s="11" t="s">
        <v>106</v>
      </c>
      <c r="H9" s="11"/>
      <c r="I9" s="11" t="s">
        <v>288</v>
      </c>
    </row>
    <row r="10" spans="1:9" ht="100.8">
      <c r="A10" s="11" t="s">
        <v>80</v>
      </c>
      <c r="B10" s="11" t="s">
        <v>81</v>
      </c>
      <c r="C10" s="11" t="s">
        <v>8</v>
      </c>
      <c r="D10" s="5"/>
      <c r="E10" s="5" t="s">
        <v>109</v>
      </c>
      <c r="F10" s="5"/>
      <c r="G10" s="11" t="s">
        <v>80</v>
      </c>
      <c r="H10" s="11" t="s">
        <v>264</v>
      </c>
      <c r="I10" s="5"/>
    </row>
    <row r="11" spans="1:9" ht="43.2">
      <c r="A11" s="11" t="s">
        <v>63</v>
      </c>
      <c r="B11" s="11" t="s">
        <v>82</v>
      </c>
      <c r="C11" s="11" t="s">
        <v>8</v>
      </c>
      <c r="D11" s="5"/>
      <c r="E11" s="5" t="s">
        <v>109</v>
      </c>
      <c r="F11" s="5" t="s">
        <v>121</v>
      </c>
      <c r="G11" s="11" t="s">
        <v>63</v>
      </c>
      <c r="H11" s="11" t="s">
        <v>282</v>
      </c>
      <c r="I11" s="5"/>
    </row>
    <row r="12" spans="1:9" ht="72">
      <c r="A12" s="11" t="s">
        <v>84</v>
      </c>
      <c r="B12" s="11" t="s">
        <v>85</v>
      </c>
      <c r="D12" s="5" t="s">
        <v>273</v>
      </c>
      <c r="E12" s="11" t="s">
        <v>111</v>
      </c>
      <c r="F12" s="11" t="s">
        <v>265</v>
      </c>
      <c r="G12" s="11" t="s">
        <v>83</v>
      </c>
      <c r="H12" s="31"/>
      <c r="I12" s="30" t="s">
        <v>274</v>
      </c>
    </row>
    <row r="13" spans="1:9" ht="43.2">
      <c r="A13" s="11" t="s">
        <v>87</v>
      </c>
      <c r="B13" s="11" t="s">
        <v>88</v>
      </c>
      <c r="D13" s="5"/>
      <c r="E13" s="11" t="s">
        <v>67</v>
      </c>
      <c r="F13" s="11" t="s">
        <v>265</v>
      </c>
      <c r="G13" s="11" t="s">
        <v>86</v>
      </c>
      <c r="H13" s="11"/>
      <c r="I13" s="8"/>
    </row>
    <row r="14" spans="1:9" ht="115.2">
      <c r="A14" s="11" t="s">
        <v>89</v>
      </c>
      <c r="B14" s="11" t="s">
        <v>90</v>
      </c>
      <c r="D14" s="5"/>
      <c r="E14" s="11" t="s">
        <v>111</v>
      </c>
      <c r="F14" s="11" t="s">
        <v>265</v>
      </c>
      <c r="G14" s="11" t="s">
        <v>283</v>
      </c>
      <c r="H14" s="11" t="s">
        <v>347</v>
      </c>
      <c r="I14" s="11"/>
    </row>
    <row r="15" spans="1:9" ht="28.8">
      <c r="A15" s="11" t="s">
        <v>91</v>
      </c>
      <c r="B15" s="11" t="s">
        <v>92</v>
      </c>
      <c r="C15" s="11" t="s">
        <v>9</v>
      </c>
      <c r="D15" s="5"/>
      <c r="E15" s="5" t="s">
        <v>111</v>
      </c>
      <c r="F15" s="5" t="s">
        <v>123</v>
      </c>
      <c r="G15" s="11" t="s">
        <v>284</v>
      </c>
      <c r="H15" s="11"/>
      <c r="I15" s="11"/>
    </row>
    <row r="16" spans="1:9">
      <c r="A16" s="11" t="s">
        <v>94</v>
      </c>
      <c r="B16" s="11" t="s">
        <v>95</v>
      </c>
      <c r="C16" s="11" t="s">
        <v>8</v>
      </c>
      <c r="D16" s="5"/>
      <c r="E16" s="5" t="s">
        <v>67</v>
      </c>
      <c r="F16" s="5"/>
      <c r="G16" s="11" t="s">
        <v>93</v>
      </c>
      <c r="H16" s="11"/>
      <c r="I16" s="30" t="s">
        <v>267</v>
      </c>
    </row>
    <row r="17" spans="1:9">
      <c r="A17" s="11" t="s">
        <v>97</v>
      </c>
      <c r="B17" s="11" t="s">
        <v>98</v>
      </c>
      <c r="C17" s="11"/>
      <c r="D17" s="5"/>
      <c r="E17" s="5" t="s">
        <v>67</v>
      </c>
      <c r="F17" s="5"/>
      <c r="G17" s="11" t="s">
        <v>96</v>
      </c>
      <c r="H17" s="11"/>
      <c r="I17" s="8"/>
    </row>
    <row r="18" spans="1:9" ht="86.4">
      <c r="A18" s="11" t="s">
        <v>51</v>
      </c>
      <c r="B18" s="11" t="s">
        <v>50</v>
      </c>
      <c r="C18" s="11" t="s">
        <v>9</v>
      </c>
      <c r="D18" s="11"/>
      <c r="E18" s="11" t="s">
        <v>111</v>
      </c>
      <c r="F18" s="11" t="s">
        <v>266</v>
      </c>
      <c r="G18" s="11" t="s">
        <v>324</v>
      </c>
      <c r="H18" s="11"/>
      <c r="I18" s="30"/>
    </row>
    <row r="19" spans="1:9" ht="57.6">
      <c r="A19" s="11" t="s">
        <v>52</v>
      </c>
      <c r="B19" s="11" t="s">
        <v>303</v>
      </c>
      <c r="C19" s="11" t="s">
        <v>9</v>
      </c>
      <c r="D19" s="11"/>
      <c r="E19" s="11" t="s">
        <v>111</v>
      </c>
      <c r="F19" s="11" t="s">
        <v>124</v>
      </c>
      <c r="G19" s="11" t="s">
        <v>323</v>
      </c>
      <c r="H19" s="11" t="s">
        <v>325</v>
      </c>
      <c r="I19" s="30"/>
    </row>
    <row r="20" spans="1:9" ht="57.6">
      <c r="A20" s="11" t="s">
        <v>116</v>
      </c>
      <c r="B20" s="11" t="s">
        <v>118</v>
      </c>
      <c r="C20" s="11" t="s">
        <v>9</v>
      </c>
      <c r="E20" s="5" t="s">
        <v>117</v>
      </c>
      <c r="F20" s="5" t="s">
        <v>125</v>
      </c>
      <c r="G20" s="11" t="s">
        <v>286</v>
      </c>
      <c r="H20" s="11" t="s">
        <v>348</v>
      </c>
      <c r="I20" s="11" t="s">
        <v>285</v>
      </c>
    </row>
    <row r="21" spans="1:9">
      <c r="A21" s="11" t="s">
        <v>276</v>
      </c>
    </row>
    <row r="22" spans="1:9">
      <c r="A22" s="11" t="s">
        <v>277</v>
      </c>
    </row>
    <row r="23" spans="1:9" ht="28.8">
      <c r="A23" s="11" t="s">
        <v>278</v>
      </c>
    </row>
    <row r="24" spans="1:9">
      <c r="A24" s="11" t="s">
        <v>279</v>
      </c>
    </row>
    <row r="25" spans="1:9">
      <c r="A25" s="11" t="s">
        <v>99</v>
      </c>
      <c r="B25" s="12" t="s">
        <v>112</v>
      </c>
      <c r="C25" s="12"/>
      <c r="D25" s="12"/>
      <c r="E25" s="12" t="s">
        <v>110</v>
      </c>
      <c r="F25" s="12"/>
      <c r="G25" s="11" t="s">
        <v>101</v>
      </c>
    </row>
    <row r="26" spans="1:9">
      <c r="A26" s="11" t="s">
        <v>100</v>
      </c>
      <c r="B26" s="12" t="s">
        <v>113</v>
      </c>
      <c r="C26" s="12"/>
      <c r="D26" s="12"/>
      <c r="E26" s="12" t="s">
        <v>110</v>
      </c>
      <c r="F26" s="12"/>
      <c r="G26" s="11" t="s">
        <v>101</v>
      </c>
    </row>
    <row r="27" spans="1:9" ht="28.8">
      <c r="A27" s="11" t="s">
        <v>349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1"/>
  <sheetViews>
    <sheetView rightToLeft="1" tabSelected="1" topLeftCell="A43" zoomScale="75" zoomScaleNormal="75" workbookViewId="0">
      <selection activeCell="D47" sqref="D47"/>
    </sheetView>
  </sheetViews>
  <sheetFormatPr defaultRowHeight="14.4"/>
  <cols>
    <col min="2" max="2" width="17.21875" customWidth="1"/>
    <col min="3" max="3" width="17.109375" customWidth="1"/>
    <col min="4" max="4" width="20.5546875" style="38" customWidth="1"/>
    <col min="5" max="5" width="49.44140625" style="5" customWidth="1"/>
    <col min="6" max="6" width="22.33203125" style="5" customWidth="1"/>
    <col min="7" max="7" width="12.109375" customWidth="1"/>
    <col min="8" max="8" width="17.77734375" customWidth="1"/>
    <col min="9" max="9" width="12" customWidth="1"/>
    <col min="10" max="10" width="15.33203125" customWidth="1"/>
    <col min="11" max="11" width="40.6640625" customWidth="1"/>
    <col min="12" max="12" width="12" customWidth="1"/>
    <col min="13" max="13" width="14.33203125" customWidth="1"/>
  </cols>
  <sheetData>
    <row r="1" spans="1:14">
      <c r="B1" s="38"/>
      <c r="C1" s="4" t="s">
        <v>58</v>
      </c>
      <c r="D1" s="5"/>
    </row>
    <row r="2" spans="1:14">
      <c r="B2" s="38"/>
      <c r="C2" s="28" t="s">
        <v>205</v>
      </c>
      <c r="D2" s="5"/>
    </row>
    <row r="4" spans="1:14" ht="27.6">
      <c r="A4" s="9" t="s">
        <v>413</v>
      </c>
      <c r="B4" s="9" t="s">
        <v>777</v>
      </c>
      <c r="C4" s="39" t="s">
        <v>6</v>
      </c>
      <c r="D4" s="9" t="s">
        <v>7</v>
      </c>
      <c r="E4" s="9" t="s">
        <v>59</v>
      </c>
      <c r="F4" s="9" t="s">
        <v>784</v>
      </c>
      <c r="G4" s="9" t="s">
        <v>3</v>
      </c>
      <c r="H4" s="9" t="s">
        <v>4</v>
      </c>
      <c r="I4" s="9" t="s">
        <v>57</v>
      </c>
      <c r="J4" s="9" t="s">
        <v>659</v>
      </c>
      <c r="K4" s="9" t="s">
        <v>0</v>
      </c>
      <c r="L4" s="9" t="s">
        <v>156</v>
      </c>
      <c r="M4" s="9" t="s">
        <v>157</v>
      </c>
      <c r="N4" s="9" t="s">
        <v>105</v>
      </c>
    </row>
    <row r="5" spans="1:14" ht="151.80000000000001">
      <c r="A5" s="2" t="s">
        <v>715</v>
      </c>
      <c r="B5" s="2" t="s">
        <v>778</v>
      </c>
      <c r="C5" t="s">
        <v>753</v>
      </c>
      <c r="D5" s="3" t="s">
        <v>768</v>
      </c>
      <c r="E5" s="3" t="s">
        <v>812</v>
      </c>
      <c r="F5" s="3"/>
      <c r="G5" s="3"/>
      <c r="H5" s="3"/>
      <c r="I5" s="2"/>
      <c r="J5" s="2"/>
      <c r="K5" s="21"/>
    </row>
    <row r="6" spans="1:14" ht="28.8">
      <c r="A6" s="2" t="s">
        <v>715</v>
      </c>
      <c r="B6" s="2" t="s">
        <v>778</v>
      </c>
      <c r="C6" t="s">
        <v>754</v>
      </c>
      <c r="D6" s="3" t="s">
        <v>767</v>
      </c>
      <c r="E6" s="3"/>
      <c r="F6" s="3"/>
      <c r="G6" s="3"/>
      <c r="H6" s="3"/>
      <c r="I6" s="2"/>
      <c r="J6" s="2"/>
      <c r="K6" s="21"/>
    </row>
    <row r="7" spans="1:14" ht="28.8">
      <c r="A7" s="2" t="s">
        <v>715</v>
      </c>
      <c r="B7" s="2" t="s">
        <v>778</v>
      </c>
      <c r="C7" t="s">
        <v>755</v>
      </c>
      <c r="D7" s="3" t="s">
        <v>766</v>
      </c>
      <c r="E7" s="3"/>
      <c r="F7" s="3"/>
      <c r="G7" s="3"/>
      <c r="H7" s="3"/>
      <c r="I7" s="2"/>
      <c r="J7" s="2"/>
      <c r="K7" s="21"/>
    </row>
    <row r="8" spans="1:14" ht="28.8">
      <c r="A8" s="2" t="s">
        <v>715</v>
      </c>
      <c r="B8" s="2" t="s">
        <v>778</v>
      </c>
      <c r="C8" t="s">
        <v>756</v>
      </c>
      <c r="D8" s="3" t="s">
        <v>765</v>
      </c>
      <c r="E8" s="3"/>
      <c r="F8" s="3"/>
      <c r="G8" s="3"/>
      <c r="H8" s="3"/>
      <c r="J8" s="2"/>
    </row>
    <row r="9" spans="1:14" ht="28.8">
      <c r="A9" s="2" t="s">
        <v>715</v>
      </c>
      <c r="B9" s="2" t="s">
        <v>778</v>
      </c>
      <c r="C9" t="s">
        <v>757</v>
      </c>
      <c r="D9" s="3" t="s">
        <v>764</v>
      </c>
      <c r="E9" s="3"/>
      <c r="F9" s="3"/>
      <c r="G9" s="3"/>
      <c r="H9" s="3"/>
      <c r="J9" s="2"/>
    </row>
    <row r="10" spans="1:14" ht="28.8">
      <c r="A10" s="2" t="s">
        <v>715</v>
      </c>
      <c r="B10" s="2" t="s">
        <v>778</v>
      </c>
      <c r="C10" t="s">
        <v>758</v>
      </c>
      <c r="D10" s="3" t="s">
        <v>763</v>
      </c>
      <c r="E10" s="3"/>
      <c r="F10" s="3"/>
      <c r="G10" s="3"/>
      <c r="H10" s="3"/>
      <c r="J10" s="2"/>
    </row>
    <row r="11" spans="1:14" ht="28.8">
      <c r="A11" s="2" t="s">
        <v>715</v>
      </c>
      <c r="B11" s="2" t="s">
        <v>778</v>
      </c>
      <c r="C11" t="s">
        <v>759</v>
      </c>
      <c r="D11" s="3" t="s">
        <v>762</v>
      </c>
      <c r="E11" s="3"/>
      <c r="F11" s="3"/>
      <c r="G11" s="3"/>
      <c r="H11" s="3"/>
      <c r="J11" s="2"/>
    </row>
    <row r="12" spans="1:14" ht="28.8">
      <c r="A12" s="2" t="s">
        <v>715</v>
      </c>
      <c r="B12" s="2" t="s">
        <v>778</v>
      </c>
      <c r="C12" t="s">
        <v>760</v>
      </c>
      <c r="D12" s="3" t="s">
        <v>761</v>
      </c>
      <c r="E12" s="3"/>
      <c r="F12" s="3"/>
      <c r="G12" s="3"/>
      <c r="H12" s="3"/>
      <c r="J12" s="2"/>
    </row>
    <row r="13" spans="1:14" ht="28.8">
      <c r="A13" s="2" t="s">
        <v>715</v>
      </c>
      <c r="B13" s="2" t="s">
        <v>778</v>
      </c>
      <c r="C13" s="2" t="s">
        <v>770</v>
      </c>
      <c r="D13" s="3" t="s">
        <v>435</v>
      </c>
      <c r="E13" s="3"/>
      <c r="F13" s="3"/>
      <c r="G13" s="3"/>
      <c r="H13" s="3"/>
      <c r="J13" s="2"/>
    </row>
    <row r="14" spans="1:14" ht="28.8">
      <c r="A14" s="2" t="s">
        <v>715</v>
      </c>
      <c r="B14" s="2" t="s">
        <v>778</v>
      </c>
      <c r="C14" s="2" t="s">
        <v>771</v>
      </c>
      <c r="D14" s="3" t="s">
        <v>639</v>
      </c>
      <c r="E14" s="3"/>
      <c r="F14" s="3"/>
      <c r="G14" s="3"/>
      <c r="H14" s="3"/>
      <c r="J14" s="2"/>
    </row>
    <row r="15" spans="1:14" ht="28.8">
      <c r="A15" s="2" t="s">
        <v>715</v>
      </c>
      <c r="B15" s="2" t="s">
        <v>778</v>
      </c>
      <c r="C15" t="s">
        <v>683</v>
      </c>
      <c r="D15" s="3" t="s">
        <v>711</v>
      </c>
      <c r="E15" s="3"/>
      <c r="F15" s="3"/>
      <c r="G15" s="3"/>
      <c r="H15" s="3"/>
      <c r="J15" s="2"/>
    </row>
    <row r="16" spans="1:14" ht="331.2">
      <c r="A16" s="2" t="s">
        <v>715</v>
      </c>
      <c r="B16" s="2" t="s">
        <v>778</v>
      </c>
      <c r="C16" s="2" t="s">
        <v>769</v>
      </c>
      <c r="D16" s="3" t="s">
        <v>436</v>
      </c>
      <c r="E16" s="3" t="s">
        <v>809</v>
      </c>
      <c r="F16" s="3"/>
      <c r="G16" s="3"/>
      <c r="H16" s="3"/>
      <c r="J16" s="2"/>
      <c r="K16" s="5"/>
    </row>
    <row r="17" spans="1:11" ht="28.8">
      <c r="A17" s="2" t="s">
        <v>774</v>
      </c>
      <c r="B17" s="3" t="s">
        <v>776</v>
      </c>
      <c r="C17" s="2" t="s">
        <v>665</v>
      </c>
      <c r="D17" s="2" t="s">
        <v>775</v>
      </c>
      <c r="E17" s="3"/>
      <c r="F17" s="3"/>
      <c r="G17" s="3"/>
      <c r="H17" s="3"/>
      <c r="J17" s="2"/>
    </row>
    <row r="18" spans="1:11" ht="27.6">
      <c r="A18" s="2" t="s">
        <v>774</v>
      </c>
      <c r="B18" s="3" t="s">
        <v>776</v>
      </c>
      <c r="C18" s="2" t="s">
        <v>779</v>
      </c>
      <c r="D18" s="2" t="s">
        <v>704</v>
      </c>
      <c r="E18" s="3"/>
      <c r="F18" s="3"/>
      <c r="G18" s="3"/>
      <c r="H18" s="3"/>
      <c r="J18" s="2"/>
    </row>
    <row r="19" spans="1:11" ht="27.6">
      <c r="A19" s="2" t="s">
        <v>774</v>
      </c>
      <c r="B19" s="3" t="s">
        <v>776</v>
      </c>
      <c r="C19" t="s">
        <v>772</v>
      </c>
      <c r="D19" s="2" t="s">
        <v>773</v>
      </c>
      <c r="E19" s="3"/>
      <c r="F19" s="3"/>
      <c r="G19" s="3"/>
      <c r="H19" s="2"/>
      <c r="J19" s="2"/>
    </row>
    <row r="20" spans="1:11" ht="27.6">
      <c r="A20" s="2" t="s">
        <v>774</v>
      </c>
      <c r="B20" s="3" t="s">
        <v>776</v>
      </c>
      <c r="C20" t="s">
        <v>666</v>
      </c>
      <c r="D20" s="3" t="s">
        <v>707</v>
      </c>
      <c r="E20" s="3"/>
      <c r="F20" s="3"/>
      <c r="G20" s="3"/>
      <c r="H20" s="2"/>
      <c r="J20" s="2"/>
    </row>
    <row r="21" spans="1:11" ht="27.6">
      <c r="A21" s="2" t="s">
        <v>774</v>
      </c>
      <c r="B21" s="3" t="s">
        <v>776</v>
      </c>
      <c r="C21" t="s">
        <v>671</v>
      </c>
      <c r="D21" s="3" t="s">
        <v>786</v>
      </c>
      <c r="E21" s="3"/>
      <c r="F21" s="3"/>
      <c r="G21" s="3"/>
      <c r="H21" s="2"/>
      <c r="J21" s="2"/>
    </row>
    <row r="22" spans="1:11" ht="27.6">
      <c r="A22" s="2" t="s">
        <v>774</v>
      </c>
      <c r="B22" s="3" t="s">
        <v>776</v>
      </c>
      <c r="C22" t="s">
        <v>796</v>
      </c>
      <c r="D22" s="3" t="s">
        <v>701</v>
      </c>
      <c r="E22" s="3"/>
      <c r="F22" s="3"/>
      <c r="G22" s="3"/>
      <c r="H22" s="3"/>
      <c r="K22" s="34"/>
    </row>
    <row r="23" spans="1:11" ht="27.6">
      <c r="A23" s="2" t="s">
        <v>774</v>
      </c>
      <c r="B23" s="3" t="s">
        <v>776</v>
      </c>
      <c r="C23" t="s">
        <v>797</v>
      </c>
      <c r="D23" s="3" t="s">
        <v>702</v>
      </c>
      <c r="E23" s="3"/>
      <c r="F23" s="3"/>
      <c r="G23" s="3"/>
      <c r="H23" s="3"/>
      <c r="K23" s="34"/>
    </row>
    <row r="24" spans="1:11" ht="27.6">
      <c r="A24" s="2" t="s">
        <v>774</v>
      </c>
      <c r="B24" s="3" t="s">
        <v>776</v>
      </c>
      <c r="C24" t="s">
        <v>798</v>
      </c>
      <c r="D24" s="3" t="s">
        <v>22</v>
      </c>
      <c r="E24" s="3"/>
      <c r="F24" s="3"/>
      <c r="G24" s="3"/>
      <c r="H24" s="3"/>
      <c r="K24" s="34"/>
    </row>
    <row r="25" spans="1:11">
      <c r="A25" s="2" t="s">
        <v>693</v>
      </c>
      <c r="B25" s="3" t="s">
        <v>780</v>
      </c>
      <c r="C25" s="2" t="s">
        <v>696</v>
      </c>
      <c r="D25" s="3" t="s">
        <v>697</v>
      </c>
      <c r="E25" s="3"/>
      <c r="F25" s="3"/>
      <c r="G25" s="3"/>
      <c r="H25" s="2"/>
      <c r="J25" s="2"/>
    </row>
    <row r="26" spans="1:11" ht="28.8">
      <c r="A26" s="2" t="s">
        <v>693</v>
      </c>
      <c r="B26" s="3" t="s">
        <v>780</v>
      </c>
      <c r="C26" s="2" t="s">
        <v>717</v>
      </c>
      <c r="D26" s="3" t="s">
        <v>643</v>
      </c>
      <c r="E26" s="3"/>
      <c r="F26" s="3"/>
      <c r="G26" s="3"/>
      <c r="H26" s="2"/>
      <c r="J26" s="2"/>
    </row>
    <row r="27" spans="1:11">
      <c r="A27" s="2" t="s">
        <v>693</v>
      </c>
      <c r="B27" s="3" t="s">
        <v>780</v>
      </c>
      <c r="C27" s="56" t="s">
        <v>716</v>
      </c>
      <c r="D27" s="3" t="s">
        <v>644</v>
      </c>
      <c r="E27" s="3"/>
      <c r="F27" s="3" t="s">
        <v>426</v>
      </c>
      <c r="G27" s="3"/>
      <c r="H27" s="2"/>
      <c r="J27" s="2"/>
    </row>
    <row r="28" spans="1:11">
      <c r="A28" s="2" t="s">
        <v>693</v>
      </c>
      <c r="B28" s="3" t="s">
        <v>780</v>
      </c>
      <c r="C28" s="56" t="s">
        <v>718</v>
      </c>
      <c r="D28" s="3" t="s">
        <v>719</v>
      </c>
      <c r="E28" s="3"/>
      <c r="F28" s="3" t="s">
        <v>426</v>
      </c>
      <c r="G28" s="3"/>
      <c r="H28" s="2"/>
      <c r="J28" s="2"/>
    </row>
    <row r="29" spans="1:11">
      <c r="A29" s="2" t="s">
        <v>693</v>
      </c>
      <c r="B29" s="3" t="s">
        <v>780</v>
      </c>
      <c r="C29" s="56" t="s">
        <v>720</v>
      </c>
      <c r="D29" s="3" t="s">
        <v>721</v>
      </c>
      <c r="E29" s="3"/>
      <c r="F29" s="3"/>
      <c r="G29" s="3"/>
      <c r="H29" s="2"/>
      <c r="J29" s="2"/>
    </row>
    <row r="30" spans="1:11">
      <c r="A30" s="2" t="s">
        <v>782</v>
      </c>
      <c r="B30" s="3" t="s">
        <v>781</v>
      </c>
      <c r="C30" s="57" t="s">
        <v>723</v>
      </c>
      <c r="D30" s="2" t="s">
        <v>724</v>
      </c>
      <c r="E30" s="57" t="s">
        <v>731</v>
      </c>
      <c r="F30" s="57" t="s">
        <v>425</v>
      </c>
      <c r="G30" s="3"/>
      <c r="H30" s="2"/>
      <c r="J30" s="2"/>
    </row>
    <row r="31" spans="1:11">
      <c r="A31" s="2" t="s">
        <v>782</v>
      </c>
      <c r="B31" s="3" t="s">
        <v>781</v>
      </c>
      <c r="C31" s="57" t="s">
        <v>725</v>
      </c>
      <c r="D31" s="2" t="s">
        <v>726</v>
      </c>
      <c r="E31" s="57" t="s">
        <v>730</v>
      </c>
      <c r="F31" s="57"/>
      <c r="G31" s="3"/>
      <c r="J31" s="2"/>
    </row>
    <row r="32" spans="1:11">
      <c r="A32" s="2" t="s">
        <v>782</v>
      </c>
      <c r="B32" s="3" t="s">
        <v>781</v>
      </c>
      <c r="C32" s="57" t="s">
        <v>727</v>
      </c>
      <c r="D32" s="3" t="s">
        <v>728</v>
      </c>
      <c r="E32" s="57" t="s">
        <v>729</v>
      </c>
      <c r="F32" s="57"/>
      <c r="G32" s="3"/>
    </row>
    <row r="33" spans="1:11">
      <c r="A33" s="2" t="s">
        <v>782</v>
      </c>
      <c r="B33" s="3" t="s">
        <v>781</v>
      </c>
      <c r="C33" s="57" t="s">
        <v>732</v>
      </c>
      <c r="D33" s="3" t="s">
        <v>734</v>
      </c>
      <c r="E33" s="57" t="s">
        <v>737</v>
      </c>
      <c r="F33" s="57"/>
      <c r="G33" s="3"/>
    </row>
    <row r="34" spans="1:11">
      <c r="A34" s="2" t="s">
        <v>782</v>
      </c>
      <c r="B34" s="3" t="s">
        <v>781</v>
      </c>
      <c r="C34" s="57" t="s">
        <v>733</v>
      </c>
      <c r="D34" s="3" t="s">
        <v>735</v>
      </c>
      <c r="E34" s="57" t="s">
        <v>736</v>
      </c>
      <c r="F34" s="57"/>
      <c r="G34" s="3"/>
    </row>
    <row r="35" spans="1:11">
      <c r="A35" s="2" t="s">
        <v>782</v>
      </c>
      <c r="B35" s="3" t="s">
        <v>781</v>
      </c>
      <c r="C35" s="57" t="s">
        <v>738</v>
      </c>
      <c r="D35" s="3" t="s">
        <v>750</v>
      </c>
      <c r="E35" s="57" t="s">
        <v>739</v>
      </c>
      <c r="F35" s="57"/>
      <c r="G35" s="3"/>
    </row>
    <row r="36" spans="1:11">
      <c r="A36" s="2" t="s">
        <v>782</v>
      </c>
      <c r="B36" s="3" t="s">
        <v>781</v>
      </c>
      <c r="C36" s="57" t="s">
        <v>544</v>
      </c>
      <c r="D36" s="3" t="s">
        <v>543</v>
      </c>
      <c r="E36" s="57" t="s">
        <v>740</v>
      </c>
      <c r="F36" s="57"/>
      <c r="G36" s="3"/>
      <c r="H36" s="3"/>
      <c r="J36" s="2"/>
    </row>
    <row r="37" spans="1:11">
      <c r="A37" s="2" t="s">
        <v>782</v>
      </c>
      <c r="B37" s="3" t="s">
        <v>781</v>
      </c>
      <c r="C37" s="57" t="s">
        <v>743</v>
      </c>
      <c r="D37" s="3" t="s">
        <v>742</v>
      </c>
      <c r="E37" s="57" t="s">
        <v>741</v>
      </c>
      <c r="F37" s="57"/>
      <c r="G37" s="3"/>
    </row>
    <row r="38" spans="1:11">
      <c r="A38" s="2" t="s">
        <v>782</v>
      </c>
      <c r="B38" s="3" t="s">
        <v>781</v>
      </c>
      <c r="C38" s="57" t="s">
        <v>744</v>
      </c>
      <c r="D38" s="3" t="s">
        <v>745</v>
      </c>
      <c r="E38" s="57" t="s">
        <v>748</v>
      </c>
      <c r="F38" s="57"/>
      <c r="G38" s="3"/>
    </row>
    <row r="39" spans="1:11">
      <c r="A39" s="2" t="s">
        <v>782</v>
      </c>
      <c r="B39" s="3" t="s">
        <v>781</v>
      </c>
      <c r="C39" s="57" t="s">
        <v>746</v>
      </c>
      <c r="D39" s="3" t="s">
        <v>747</v>
      </c>
      <c r="E39" s="57" t="s">
        <v>749</v>
      </c>
      <c r="F39" s="57"/>
      <c r="G39" s="3"/>
    </row>
    <row r="40" spans="1:11">
      <c r="A40" s="2" t="s">
        <v>782</v>
      </c>
      <c r="B40" s="3" t="s">
        <v>781</v>
      </c>
      <c r="C40" s="57" t="s">
        <v>751</v>
      </c>
      <c r="D40" s="3" t="s">
        <v>752</v>
      </c>
      <c r="G40" s="3"/>
    </row>
    <row r="41" spans="1:11" ht="28.8">
      <c r="A41" s="2" t="s">
        <v>426</v>
      </c>
      <c r="B41" s="3" t="s">
        <v>783</v>
      </c>
      <c r="C41" s="49" t="s">
        <v>432</v>
      </c>
      <c r="D41" s="3" t="s">
        <v>414</v>
      </c>
      <c r="E41" s="3"/>
      <c r="F41" s="3"/>
      <c r="G41" s="3"/>
    </row>
    <row r="42" spans="1:11" ht="220.8">
      <c r="A42" s="2" t="s">
        <v>426</v>
      </c>
      <c r="B42" s="3" t="s">
        <v>783</v>
      </c>
      <c r="C42" s="2" t="s">
        <v>30</v>
      </c>
      <c r="D42" s="3" t="s">
        <v>29</v>
      </c>
      <c r="E42" s="3" t="s">
        <v>813</v>
      </c>
      <c r="F42" s="3"/>
      <c r="G42" s="3"/>
    </row>
    <row r="43" spans="1:11" ht="28.8">
      <c r="A43" s="2" t="s">
        <v>426</v>
      </c>
      <c r="B43" s="3" t="s">
        <v>783</v>
      </c>
      <c r="C43" s="2" t="s">
        <v>563</v>
      </c>
      <c r="D43" s="3" t="s">
        <v>57</v>
      </c>
      <c r="E43" s="3" t="s">
        <v>564</v>
      </c>
      <c r="F43" s="3"/>
      <c r="G43" s="3"/>
      <c r="H43" s="3"/>
      <c r="J43" s="2"/>
    </row>
    <row r="44" spans="1:11" ht="28.8">
      <c r="A44" s="2" t="s">
        <v>426</v>
      </c>
      <c r="B44" s="3" t="s">
        <v>783</v>
      </c>
      <c r="C44" s="2" t="s">
        <v>36</v>
      </c>
      <c r="D44" s="3" t="s">
        <v>37</v>
      </c>
      <c r="E44" s="3"/>
      <c r="F44" s="3"/>
      <c r="G44" s="3"/>
      <c r="H44" s="3"/>
    </row>
    <row r="45" spans="1:11" ht="28.8">
      <c r="A45" s="2" t="s">
        <v>426</v>
      </c>
      <c r="B45" s="3" t="s">
        <v>783</v>
      </c>
      <c r="C45" s="2" t="s">
        <v>38</v>
      </c>
      <c r="D45" s="3" t="s">
        <v>39</v>
      </c>
      <c r="E45" s="3"/>
      <c r="F45" s="3"/>
      <c r="G45" s="3"/>
      <c r="H45" s="3"/>
      <c r="J45" s="19"/>
      <c r="K45" s="3"/>
    </row>
    <row r="46" spans="1:11" ht="28.8">
      <c r="A46" s="2" t="s">
        <v>426</v>
      </c>
      <c r="B46" s="3" t="s">
        <v>783</v>
      </c>
      <c r="C46" t="s">
        <v>664</v>
      </c>
      <c r="D46" s="3" t="s">
        <v>705</v>
      </c>
      <c r="E46" s="3"/>
      <c r="F46" s="3"/>
      <c r="G46" s="3"/>
      <c r="H46" s="3"/>
      <c r="K46" s="34"/>
    </row>
    <row r="47" spans="1:11" ht="179.4">
      <c r="A47" s="40" t="s">
        <v>426</v>
      </c>
      <c r="B47" s="37" t="s">
        <v>783</v>
      </c>
      <c r="C47" s="38" t="s">
        <v>810</v>
      </c>
      <c r="D47" s="37" t="s">
        <v>12</v>
      </c>
      <c r="E47" s="37" t="s">
        <v>811</v>
      </c>
      <c r="F47" s="3"/>
      <c r="G47" s="3"/>
      <c r="H47" s="3"/>
      <c r="K47" s="34"/>
    </row>
    <row r="48" spans="1:11">
      <c r="A48" s="2" t="s">
        <v>425</v>
      </c>
      <c r="B48" s="3" t="s">
        <v>787</v>
      </c>
      <c r="C48" s="49" t="s">
        <v>431</v>
      </c>
      <c r="D48" s="48" t="s">
        <v>545</v>
      </c>
      <c r="E48" s="17"/>
      <c r="H48" s="3"/>
    </row>
    <row r="49" spans="1:11">
      <c r="A49" s="2" t="s">
        <v>425</v>
      </c>
      <c r="B49" s="3" t="s">
        <v>787</v>
      </c>
      <c r="C49" s="49" t="s">
        <v>550</v>
      </c>
      <c r="D49" s="3" t="s">
        <v>551</v>
      </c>
    </row>
    <row r="50" spans="1:11">
      <c r="A50" s="2" t="s">
        <v>425</v>
      </c>
      <c r="B50" s="3" t="s">
        <v>787</v>
      </c>
      <c r="C50" t="s">
        <v>557</v>
      </c>
      <c r="D50" s="3" t="s">
        <v>384</v>
      </c>
    </row>
    <row r="51" spans="1:11">
      <c r="A51" s="2" t="s">
        <v>425</v>
      </c>
      <c r="B51" s="3" t="s">
        <v>787</v>
      </c>
      <c r="C51" s="2" t="s">
        <v>44</v>
      </c>
      <c r="D51" s="3" t="s">
        <v>350</v>
      </c>
      <c r="E51" s="3"/>
      <c r="F51" s="3"/>
      <c r="G51" s="3"/>
      <c r="H51" s="3"/>
      <c r="I51" s="3"/>
      <c r="J51" s="3"/>
      <c r="K51" s="3"/>
    </row>
    <row r="52" spans="1:11" ht="28.8">
      <c r="A52" s="2" t="s">
        <v>425</v>
      </c>
      <c r="B52" s="3" t="s">
        <v>787</v>
      </c>
      <c r="C52" s="2" t="s">
        <v>559</v>
      </c>
      <c r="D52" s="3" t="s">
        <v>558</v>
      </c>
      <c r="E52" s="3"/>
      <c r="F52" s="3"/>
      <c r="G52" s="3"/>
      <c r="H52" s="3"/>
    </row>
    <row r="53" spans="1:11">
      <c r="A53" s="2" t="s">
        <v>425</v>
      </c>
      <c r="B53" s="3" t="s">
        <v>787</v>
      </c>
      <c r="C53" s="49" t="s">
        <v>42</v>
      </c>
      <c r="D53" s="3" t="s">
        <v>43</v>
      </c>
      <c r="E53" s="3"/>
      <c r="F53" s="3"/>
      <c r="G53" s="3"/>
      <c r="H53" s="3"/>
      <c r="J53" s="2"/>
    </row>
    <row r="54" spans="1:11">
      <c r="A54" s="2" t="s">
        <v>425</v>
      </c>
      <c r="B54" s="3" t="s">
        <v>787</v>
      </c>
      <c r="C54" s="2" t="s">
        <v>31</v>
      </c>
      <c r="D54" s="3" t="s">
        <v>32</v>
      </c>
      <c r="E54" s="3"/>
      <c r="F54" s="3"/>
      <c r="G54" s="3"/>
      <c r="H54" s="3"/>
      <c r="J54" s="2"/>
    </row>
    <row r="55" spans="1:11">
      <c r="A55" s="2" t="s">
        <v>425</v>
      </c>
      <c r="B55" s="3" t="s">
        <v>787</v>
      </c>
      <c r="C55" s="2" t="s">
        <v>788</v>
      </c>
      <c r="D55" s="3" t="s">
        <v>567</v>
      </c>
      <c r="E55" s="3"/>
      <c r="F55" s="17"/>
      <c r="G55" s="3"/>
      <c r="H55" s="2"/>
    </row>
    <row r="56" spans="1:11">
      <c r="A56" s="2" t="s">
        <v>425</v>
      </c>
      <c r="B56" s="3" t="s">
        <v>787</v>
      </c>
      <c r="C56" s="2" t="s">
        <v>789</v>
      </c>
      <c r="D56" s="3" t="s">
        <v>568</v>
      </c>
    </row>
    <row r="57" spans="1:11">
      <c r="A57" s="2" t="s">
        <v>425</v>
      </c>
      <c r="B57" s="3" t="s">
        <v>787</v>
      </c>
      <c r="C57" s="49" t="s">
        <v>785</v>
      </c>
      <c r="D57" s="3" t="s">
        <v>35</v>
      </c>
    </row>
    <row r="58" spans="1:11">
      <c r="A58" s="2" t="s">
        <v>425</v>
      </c>
      <c r="B58" s="3" t="s">
        <v>787</v>
      </c>
      <c r="C58" s="2" t="s">
        <v>16</v>
      </c>
      <c r="D58" s="56" t="s">
        <v>790</v>
      </c>
    </row>
    <row r="59" spans="1:11">
      <c r="A59" s="2" t="s">
        <v>425</v>
      </c>
      <c r="B59" s="3" t="s">
        <v>787</v>
      </c>
      <c r="C59" s="2" t="s">
        <v>27</v>
      </c>
      <c r="D59" s="3" t="s">
        <v>799</v>
      </c>
    </row>
    <row r="60" spans="1:11" ht="69">
      <c r="A60" s="2" t="s">
        <v>425</v>
      </c>
      <c r="B60" s="3" t="s">
        <v>787</v>
      </c>
      <c r="C60" s="38"/>
      <c r="D60" s="3" t="s">
        <v>383</v>
      </c>
      <c r="E60" s="3" t="s">
        <v>792</v>
      </c>
    </row>
    <row r="61" spans="1:11" ht="69">
      <c r="A61" s="2" t="s">
        <v>425</v>
      </c>
      <c r="B61" s="3" t="s">
        <v>787</v>
      </c>
      <c r="C61" s="38"/>
      <c r="D61" s="3" t="s">
        <v>422</v>
      </c>
      <c r="E61" s="3" t="s">
        <v>793</v>
      </c>
    </row>
    <row r="62" spans="1:11" ht="27.6">
      <c r="A62" s="2" t="s">
        <v>425</v>
      </c>
      <c r="B62" s="3" t="s">
        <v>787</v>
      </c>
      <c r="C62" s="38"/>
      <c r="D62" s="3" t="s">
        <v>334</v>
      </c>
      <c r="E62" s="3" t="s">
        <v>794</v>
      </c>
    </row>
    <row r="63" spans="1:11" ht="82.8">
      <c r="A63" s="2" t="s">
        <v>425</v>
      </c>
      <c r="B63" s="3" t="s">
        <v>787</v>
      </c>
      <c r="D63" s="33" t="s">
        <v>387</v>
      </c>
      <c r="E63" s="33" t="s">
        <v>795</v>
      </c>
    </row>
    <row r="64" spans="1:11">
      <c r="A64" s="2" t="s">
        <v>430</v>
      </c>
      <c r="B64" s="3" t="s">
        <v>800</v>
      </c>
      <c r="C64" s="2" t="s">
        <v>46</v>
      </c>
      <c r="D64" s="3" t="s">
        <v>45</v>
      </c>
    </row>
    <row r="65" spans="1:5">
      <c r="A65" s="2" t="s">
        <v>430</v>
      </c>
      <c r="B65" s="3" t="s">
        <v>800</v>
      </c>
      <c r="C65" t="s">
        <v>801</v>
      </c>
      <c r="D65" s="56" t="s">
        <v>333</v>
      </c>
    </row>
    <row r="66" spans="1:5" ht="28.8">
      <c r="A66" s="2" t="s">
        <v>430</v>
      </c>
      <c r="B66" s="3" t="s">
        <v>800</v>
      </c>
      <c r="C66" s="2" t="s">
        <v>560</v>
      </c>
      <c r="D66" s="3" t="s">
        <v>561</v>
      </c>
    </row>
    <row r="67" spans="1:5" ht="28.8">
      <c r="A67" s="2" t="s">
        <v>430</v>
      </c>
      <c r="B67" s="3" t="s">
        <v>800</v>
      </c>
      <c r="C67" s="2" t="s">
        <v>48</v>
      </c>
      <c r="D67" s="3" t="s">
        <v>49</v>
      </c>
      <c r="E67" s="5" t="s">
        <v>791</v>
      </c>
    </row>
    <row r="68" spans="1:5" ht="82.8">
      <c r="A68" s="2" t="s">
        <v>430</v>
      </c>
      <c r="B68" s="3" t="s">
        <v>800</v>
      </c>
      <c r="C68" s="2" t="s">
        <v>802</v>
      </c>
      <c r="D68" s="3" t="s">
        <v>56</v>
      </c>
      <c r="E68" s="3" t="s">
        <v>804</v>
      </c>
    </row>
    <row r="69" spans="1:5" ht="69">
      <c r="A69" s="2" t="s">
        <v>430</v>
      </c>
      <c r="B69" s="3" t="s">
        <v>800</v>
      </c>
      <c r="C69" s="2" t="s">
        <v>803</v>
      </c>
      <c r="D69" s="3" t="s">
        <v>114</v>
      </c>
      <c r="E69" s="3" t="s">
        <v>805</v>
      </c>
    </row>
    <row r="70" spans="1:5" ht="55.2">
      <c r="A70" s="2" t="s">
        <v>430</v>
      </c>
      <c r="B70" s="3" t="s">
        <v>800</v>
      </c>
      <c r="C70" s="2" t="s">
        <v>807</v>
      </c>
      <c r="D70" s="3" t="s">
        <v>541</v>
      </c>
      <c r="E70" s="3" t="s">
        <v>806</v>
      </c>
    </row>
    <row r="71" spans="1:5" ht="409.6">
      <c r="A71" s="2" t="s">
        <v>430</v>
      </c>
      <c r="B71" s="3" t="s">
        <v>800</v>
      </c>
      <c r="C71" s="2" t="s">
        <v>808</v>
      </c>
      <c r="D71" s="3" t="s">
        <v>699</v>
      </c>
      <c r="E71" s="3" t="s">
        <v>700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136"/>
  <sheetViews>
    <sheetView rightToLeft="1" zoomScale="75" zoomScaleNormal="75" workbookViewId="0">
      <pane ySplit="4" topLeftCell="A6" activePane="bottomLeft" state="frozen"/>
      <selection pane="bottomLeft" activeCell="D7" sqref="D7"/>
    </sheetView>
  </sheetViews>
  <sheetFormatPr defaultRowHeight="14.4"/>
  <cols>
    <col min="1" max="1" width="11.44140625" customWidth="1"/>
    <col min="2" max="2" width="25.33203125" style="38" customWidth="1"/>
    <col min="3" max="3" width="12.88671875" customWidth="1"/>
    <col min="4" max="4" width="52.5546875" style="5" customWidth="1"/>
    <col min="5" max="5" width="35.6640625" style="5" customWidth="1"/>
    <col min="6" max="6" width="29.5546875" style="5" customWidth="1"/>
    <col min="9" max="10" width="12.109375" customWidth="1"/>
    <col min="11" max="11" width="17.77734375" customWidth="1"/>
    <col min="12" max="12" width="12" customWidth="1"/>
    <col min="13" max="13" width="15.33203125" customWidth="1"/>
    <col min="14" max="14" width="40.6640625" customWidth="1"/>
  </cols>
  <sheetData>
    <row r="1" spans="1:14">
      <c r="C1" s="4" t="s">
        <v>58</v>
      </c>
    </row>
    <row r="2" spans="1:14">
      <c r="C2" s="28" t="s">
        <v>205</v>
      </c>
    </row>
    <row r="4" spans="1:14" ht="27.6">
      <c r="A4" s="9" t="s">
        <v>413</v>
      </c>
      <c r="B4" s="39" t="s">
        <v>6</v>
      </c>
      <c r="C4" s="9" t="s">
        <v>7</v>
      </c>
      <c r="D4" s="9" t="s">
        <v>471</v>
      </c>
      <c r="E4" s="9" t="s">
        <v>472</v>
      </c>
      <c r="F4" s="9" t="s">
        <v>475</v>
      </c>
      <c r="G4" s="9" t="s">
        <v>3</v>
      </c>
      <c r="H4" s="9" t="s">
        <v>4</v>
      </c>
      <c r="I4" s="9" t="s">
        <v>57</v>
      </c>
      <c r="J4" s="9" t="s">
        <v>659</v>
      </c>
      <c r="K4" s="9" t="s">
        <v>0</v>
      </c>
      <c r="L4" s="9" t="s">
        <v>156</v>
      </c>
      <c r="M4" s="9" t="s">
        <v>157</v>
      </c>
      <c r="N4" s="9" t="s">
        <v>105</v>
      </c>
    </row>
    <row r="5" spans="1:14" ht="110.4">
      <c r="A5" s="42" t="s">
        <v>415</v>
      </c>
      <c r="B5" s="47" t="s">
        <v>417</v>
      </c>
      <c r="C5" s="46" t="s">
        <v>416</v>
      </c>
      <c r="D5" s="50" t="s">
        <v>511</v>
      </c>
      <c r="E5" s="43"/>
      <c r="F5" s="43"/>
      <c r="G5" s="42">
        <v>0.7</v>
      </c>
      <c r="H5" s="42">
        <v>10</v>
      </c>
      <c r="I5" s="43" t="s">
        <v>9</v>
      </c>
      <c r="J5" s="43"/>
      <c r="K5" s="43" t="s">
        <v>8</v>
      </c>
      <c r="L5" s="42">
        <v>20</v>
      </c>
      <c r="M5" s="42" t="s">
        <v>158</v>
      </c>
      <c r="N5" s="44" t="s">
        <v>219</v>
      </c>
    </row>
    <row r="6" spans="1:14" ht="55.2">
      <c r="A6" s="2" t="s">
        <v>426</v>
      </c>
      <c r="B6" s="49" t="s">
        <v>432</v>
      </c>
      <c r="C6" s="3" t="s">
        <v>414</v>
      </c>
      <c r="D6" s="3" t="s">
        <v>512</v>
      </c>
      <c r="E6" s="33"/>
      <c r="F6" s="3" t="s">
        <v>474</v>
      </c>
      <c r="G6" s="2">
        <v>0.6</v>
      </c>
      <c r="H6" s="2">
        <v>7</v>
      </c>
      <c r="I6" s="3" t="s">
        <v>8</v>
      </c>
      <c r="J6" s="3" t="s">
        <v>649</v>
      </c>
      <c r="K6" s="3"/>
      <c r="L6" s="2"/>
      <c r="M6" s="2"/>
      <c r="N6" s="21"/>
    </row>
    <row r="7" spans="1:14" ht="317.39999999999998">
      <c r="A7" s="2" t="s">
        <v>691</v>
      </c>
      <c r="B7" s="40"/>
      <c r="C7" s="3" t="s">
        <v>436</v>
      </c>
      <c r="D7" s="3" t="s">
        <v>513</v>
      </c>
      <c r="E7" s="3" t="s">
        <v>473</v>
      </c>
      <c r="F7" s="3"/>
      <c r="G7" s="2">
        <v>0.7</v>
      </c>
      <c r="H7" s="2">
        <v>9</v>
      </c>
      <c r="I7" s="3" t="s">
        <v>9</v>
      </c>
      <c r="J7" s="3" t="s">
        <v>649</v>
      </c>
      <c r="K7" s="3"/>
      <c r="L7" s="2"/>
      <c r="M7" s="2" t="s">
        <v>437</v>
      </c>
      <c r="N7" s="21"/>
    </row>
    <row r="8" spans="1:14" ht="220.8">
      <c r="A8" s="2" t="s">
        <v>425</v>
      </c>
      <c r="B8" s="2" t="s">
        <v>431</v>
      </c>
      <c r="C8" s="3" t="s">
        <v>545</v>
      </c>
      <c r="D8" s="3" t="s">
        <v>546</v>
      </c>
      <c r="E8" s="33" t="s">
        <v>548</v>
      </c>
      <c r="F8" s="3"/>
      <c r="G8" s="2">
        <v>0.6</v>
      </c>
      <c r="H8" s="2">
        <v>7</v>
      </c>
      <c r="I8" s="3" t="s">
        <v>8</v>
      </c>
      <c r="J8" s="3" t="s">
        <v>649</v>
      </c>
      <c r="K8" s="3" t="s">
        <v>8</v>
      </c>
      <c r="M8" s="2" t="s">
        <v>159</v>
      </c>
    </row>
    <row r="9" spans="1:14" ht="151.80000000000001">
      <c r="A9" s="2" t="s">
        <v>425</v>
      </c>
      <c r="B9" s="2" t="s">
        <v>544</v>
      </c>
      <c r="C9" s="2" t="s">
        <v>543</v>
      </c>
      <c r="D9" s="3" t="s">
        <v>547</v>
      </c>
      <c r="E9" s="33" t="s">
        <v>549</v>
      </c>
      <c r="F9" s="3"/>
      <c r="G9" s="2">
        <v>0.5</v>
      </c>
      <c r="H9" s="2">
        <v>5</v>
      </c>
      <c r="I9" s="3"/>
      <c r="J9" s="3" t="s">
        <v>649</v>
      </c>
      <c r="K9" s="3"/>
      <c r="M9" s="2"/>
    </row>
    <row r="10" spans="1:14" ht="96.6">
      <c r="A10" s="2" t="s">
        <v>690</v>
      </c>
      <c r="B10" s="2" t="s">
        <v>30</v>
      </c>
      <c r="C10" s="3" t="s">
        <v>29</v>
      </c>
      <c r="D10" s="3" t="s">
        <v>484</v>
      </c>
      <c r="E10" s="33"/>
      <c r="F10" s="33" t="s">
        <v>485</v>
      </c>
      <c r="G10" s="2">
        <v>0.7</v>
      </c>
      <c r="H10" s="2">
        <v>9</v>
      </c>
      <c r="I10" s="3" t="s">
        <v>8</v>
      </c>
      <c r="J10" s="3"/>
      <c r="K10" s="3" t="s">
        <v>8</v>
      </c>
      <c r="M10" s="2"/>
    </row>
    <row r="11" spans="1:14" ht="138">
      <c r="A11" s="2" t="s">
        <v>425</v>
      </c>
      <c r="B11" s="52" t="s">
        <v>550</v>
      </c>
      <c r="C11" s="3" t="s">
        <v>551</v>
      </c>
      <c r="D11" s="3" t="s">
        <v>552</v>
      </c>
      <c r="E11" s="33" t="s">
        <v>555</v>
      </c>
      <c r="F11" s="33" t="s">
        <v>556</v>
      </c>
      <c r="G11" s="2">
        <v>0.5</v>
      </c>
      <c r="H11" s="2">
        <v>8</v>
      </c>
      <c r="I11" s="3"/>
      <c r="J11" s="3"/>
      <c r="K11" s="3"/>
      <c r="M11" s="2"/>
    </row>
    <row r="12" spans="1:14" ht="220.8">
      <c r="A12" s="2" t="s">
        <v>425</v>
      </c>
      <c r="B12" t="s">
        <v>557</v>
      </c>
      <c r="C12" s="3" t="s">
        <v>384</v>
      </c>
      <c r="D12" s="3" t="s">
        <v>553</v>
      </c>
      <c r="E12" s="33" t="s">
        <v>554</v>
      </c>
      <c r="F12" s="33"/>
      <c r="G12" s="2">
        <v>0.4</v>
      </c>
      <c r="H12" s="2">
        <v>6</v>
      </c>
      <c r="I12" s="3" t="s">
        <v>9</v>
      </c>
      <c r="J12" s="3"/>
    </row>
    <row r="13" spans="1:14" ht="138">
      <c r="A13" s="2" t="s">
        <v>692</v>
      </c>
      <c r="B13" s="2" t="s">
        <v>44</v>
      </c>
      <c r="C13" s="3" t="s">
        <v>350</v>
      </c>
      <c r="D13" s="3" t="s">
        <v>536</v>
      </c>
      <c r="E13" s="33"/>
      <c r="F13" s="3" t="s">
        <v>508</v>
      </c>
      <c r="G13" s="2">
        <v>0.6</v>
      </c>
      <c r="H13" s="2">
        <v>7</v>
      </c>
      <c r="I13" s="3" t="s">
        <v>9</v>
      </c>
      <c r="J13" s="3" t="s">
        <v>649</v>
      </c>
      <c r="K13" s="2"/>
      <c r="M13" s="2" t="s">
        <v>339</v>
      </c>
      <c r="N13" t="s">
        <v>13</v>
      </c>
    </row>
    <row r="14" spans="1:14" ht="110.4">
      <c r="A14" s="2" t="s">
        <v>415</v>
      </c>
      <c r="B14" s="40"/>
      <c r="C14" s="3" t="s">
        <v>435</v>
      </c>
      <c r="D14" s="3" t="s">
        <v>537</v>
      </c>
      <c r="E14" s="33"/>
      <c r="F14" s="33"/>
      <c r="G14" s="2"/>
      <c r="H14" s="2"/>
      <c r="I14" s="3"/>
      <c r="J14" s="3" t="s">
        <v>649</v>
      </c>
      <c r="K14" s="3"/>
      <c r="M14" s="2"/>
    </row>
    <row r="15" spans="1:14" ht="138">
      <c r="A15" s="2" t="s">
        <v>426</v>
      </c>
      <c r="B15" s="2" t="s">
        <v>11</v>
      </c>
      <c r="C15" s="3" t="s">
        <v>12</v>
      </c>
      <c r="D15" s="3" t="s">
        <v>514</v>
      </c>
      <c r="E15" s="45"/>
      <c r="F15" s="33" t="s">
        <v>476</v>
      </c>
      <c r="G15" s="2">
        <v>0.7</v>
      </c>
      <c r="H15" s="2">
        <v>8</v>
      </c>
      <c r="I15" s="3" t="s">
        <v>8</v>
      </c>
      <c r="J15" s="3" t="s">
        <v>649</v>
      </c>
      <c r="K15" s="3" t="s">
        <v>8</v>
      </c>
      <c r="M15" s="2" t="s">
        <v>160</v>
      </c>
    </row>
    <row r="16" spans="1:14" ht="193.2">
      <c r="A16" s="2" t="s">
        <v>693</v>
      </c>
      <c r="B16" s="2" t="s">
        <v>40</v>
      </c>
      <c r="C16" s="3" t="s">
        <v>41</v>
      </c>
      <c r="D16" s="33" t="s">
        <v>492</v>
      </c>
      <c r="E16" s="33" t="s">
        <v>518</v>
      </c>
      <c r="F16" s="33" t="s">
        <v>493</v>
      </c>
      <c r="G16" s="2">
        <v>0.6</v>
      </c>
      <c r="H16" s="2">
        <v>6</v>
      </c>
      <c r="I16" s="3" t="s">
        <v>14</v>
      </c>
      <c r="J16" s="3" t="s">
        <v>649</v>
      </c>
      <c r="K16" s="2"/>
      <c r="M16" s="2"/>
    </row>
    <row r="17" spans="1:14" ht="110.4">
      <c r="A17" s="2" t="s">
        <v>427</v>
      </c>
      <c r="B17" s="2" t="s">
        <v>420</v>
      </c>
      <c r="C17" s="3" t="s">
        <v>17</v>
      </c>
      <c r="D17" s="3" t="s">
        <v>515</v>
      </c>
      <c r="E17" s="33" t="s">
        <v>516</v>
      </c>
      <c r="F17" s="33" t="s">
        <v>483</v>
      </c>
      <c r="G17" s="2">
        <v>0.5</v>
      </c>
      <c r="H17" s="2">
        <v>5</v>
      </c>
      <c r="I17" s="3" t="s">
        <v>8</v>
      </c>
      <c r="J17" s="3" t="s">
        <v>649</v>
      </c>
      <c r="K17" s="3" t="s">
        <v>8</v>
      </c>
      <c r="M17" s="2"/>
    </row>
    <row r="18" spans="1:14" ht="165.6">
      <c r="A18" s="2" t="s">
        <v>429</v>
      </c>
      <c r="B18" s="2" t="s">
        <v>27</v>
      </c>
      <c r="C18" s="3" t="s">
        <v>28</v>
      </c>
      <c r="D18" s="3" t="s">
        <v>565</v>
      </c>
      <c r="E18" s="33"/>
      <c r="F18" s="3"/>
      <c r="G18" s="2">
        <v>0.7</v>
      </c>
      <c r="H18" s="2">
        <v>6</v>
      </c>
      <c r="I18" s="3" t="s">
        <v>8</v>
      </c>
      <c r="J18" s="3" t="s">
        <v>649</v>
      </c>
      <c r="K18" s="3" t="s">
        <v>8</v>
      </c>
      <c r="M18" s="2" t="s">
        <v>159</v>
      </c>
      <c r="N18" s="5" t="s">
        <v>340</v>
      </c>
    </row>
    <row r="19" spans="1:14">
      <c r="A19" s="2" t="s">
        <v>426</v>
      </c>
      <c r="B19" s="2" t="s">
        <v>563</v>
      </c>
      <c r="C19" s="3" t="s">
        <v>57</v>
      </c>
      <c r="D19" s="3" t="s">
        <v>564</v>
      </c>
      <c r="E19" s="33"/>
      <c r="F19" s="3"/>
      <c r="G19" s="2">
        <v>0.5</v>
      </c>
      <c r="H19" s="2">
        <v>6</v>
      </c>
      <c r="I19" s="3"/>
      <c r="J19" s="3" t="s">
        <v>649</v>
      </c>
      <c r="K19" s="3"/>
      <c r="M19" s="2"/>
      <c r="N19" s="5"/>
    </row>
    <row r="20" spans="1:14" ht="110.4">
      <c r="A20" s="2" t="s">
        <v>427</v>
      </c>
      <c r="B20" s="2" t="s">
        <v>559</v>
      </c>
      <c r="C20" s="3" t="s">
        <v>558</v>
      </c>
      <c r="D20" s="3" t="s">
        <v>517</v>
      </c>
      <c r="E20" s="33" t="s">
        <v>480</v>
      </c>
      <c r="F20" s="3" t="s">
        <v>477</v>
      </c>
      <c r="G20" s="2">
        <v>0.6</v>
      </c>
      <c r="H20" s="2">
        <v>6</v>
      </c>
      <c r="I20" s="3" t="s">
        <v>14</v>
      </c>
      <c r="J20" s="3" t="s">
        <v>649</v>
      </c>
      <c r="K20" s="3" t="s">
        <v>8</v>
      </c>
      <c r="M20" s="2" t="s">
        <v>159</v>
      </c>
    </row>
    <row r="21" spans="1:14" ht="41.4">
      <c r="A21" s="2" t="s">
        <v>427</v>
      </c>
      <c r="B21" s="2" t="s">
        <v>560</v>
      </c>
      <c r="C21" s="3" t="s">
        <v>561</v>
      </c>
      <c r="D21" s="33" t="s">
        <v>562</v>
      </c>
      <c r="E21" s="33"/>
      <c r="F21" s="33"/>
      <c r="G21" s="2"/>
      <c r="H21" s="2"/>
      <c r="I21" s="3"/>
      <c r="J21" s="3" t="s">
        <v>649</v>
      </c>
      <c r="K21" s="2"/>
      <c r="M21" s="2"/>
    </row>
    <row r="22" spans="1:14" ht="248.4">
      <c r="A22" s="2" t="s">
        <v>694</v>
      </c>
      <c r="B22" s="49" t="s">
        <v>42</v>
      </c>
      <c r="C22" s="3" t="s">
        <v>43</v>
      </c>
      <c r="D22" s="3" t="s">
        <v>538</v>
      </c>
      <c r="E22" s="33"/>
      <c r="F22" s="33" t="s">
        <v>494</v>
      </c>
      <c r="G22" s="2">
        <v>0.6</v>
      </c>
      <c r="H22" s="2">
        <v>7</v>
      </c>
      <c r="I22" s="3" t="s">
        <v>8</v>
      </c>
      <c r="J22" s="3"/>
      <c r="K22" s="2"/>
      <c r="M22" s="2"/>
    </row>
    <row r="23" spans="1:14" ht="207">
      <c r="A23" s="2" t="s">
        <v>693</v>
      </c>
      <c r="B23" s="2" t="s">
        <v>696</v>
      </c>
      <c r="C23" s="3" t="s">
        <v>697</v>
      </c>
      <c r="D23" s="3" t="s">
        <v>698</v>
      </c>
      <c r="E23" s="33" t="s">
        <v>481</v>
      </c>
      <c r="F23" s="33" t="s">
        <v>482</v>
      </c>
      <c r="G23" s="2">
        <v>0.4</v>
      </c>
      <c r="H23" s="2">
        <v>2</v>
      </c>
      <c r="I23" s="3" t="s">
        <v>8</v>
      </c>
      <c r="J23" s="3" t="s">
        <v>649</v>
      </c>
      <c r="K23" s="3" t="s">
        <v>8</v>
      </c>
      <c r="M23" s="2"/>
    </row>
    <row r="24" spans="1:14" ht="82.8">
      <c r="A24" s="2" t="s">
        <v>415</v>
      </c>
      <c r="B24" s="2" t="s">
        <v>23</v>
      </c>
      <c r="C24" s="3" t="s">
        <v>24</v>
      </c>
      <c r="D24" s="3" t="s">
        <v>519</v>
      </c>
      <c r="E24" s="33"/>
      <c r="F24" s="33"/>
      <c r="G24" s="2">
        <v>0.5</v>
      </c>
      <c r="H24" s="2">
        <v>3</v>
      </c>
      <c r="I24" s="3" t="s">
        <v>8</v>
      </c>
      <c r="J24" s="3"/>
      <c r="K24" s="3" t="s">
        <v>8</v>
      </c>
      <c r="M24" s="2"/>
    </row>
    <row r="25" spans="1:14">
      <c r="A25" s="2" t="s">
        <v>693</v>
      </c>
      <c r="B25" s="2" t="s">
        <v>717</v>
      </c>
      <c r="C25" s="3" t="s">
        <v>643</v>
      </c>
      <c r="D25" s="3" t="s">
        <v>695</v>
      </c>
      <c r="E25" s="33"/>
      <c r="F25" s="33"/>
      <c r="G25" s="2">
        <v>0.6</v>
      </c>
      <c r="H25" s="2">
        <v>5</v>
      </c>
      <c r="I25" s="3" t="s">
        <v>8</v>
      </c>
      <c r="J25" s="3" t="s">
        <v>649</v>
      </c>
      <c r="K25" s="3" t="s">
        <v>8</v>
      </c>
      <c r="M25" s="2"/>
    </row>
    <row r="26" spans="1:14" ht="193.2">
      <c r="A26" s="2" t="s">
        <v>428</v>
      </c>
      <c r="B26" s="2" t="s">
        <v>31</v>
      </c>
      <c r="C26" s="3" t="s">
        <v>32</v>
      </c>
      <c r="D26" s="3" t="s">
        <v>486</v>
      </c>
      <c r="E26" s="33" t="s">
        <v>487</v>
      </c>
      <c r="F26" s="33"/>
      <c r="G26" s="2">
        <v>0.5</v>
      </c>
      <c r="H26" s="2">
        <v>4</v>
      </c>
      <c r="I26" s="3" t="s">
        <v>8</v>
      </c>
      <c r="J26" s="3"/>
      <c r="K26" s="3" t="s">
        <v>8</v>
      </c>
      <c r="M26" s="2"/>
      <c r="N26" t="s">
        <v>338</v>
      </c>
    </row>
    <row r="27" spans="1:14" ht="55.2">
      <c r="A27" s="2" t="s">
        <v>429</v>
      </c>
      <c r="C27" s="3" t="s">
        <v>567</v>
      </c>
      <c r="D27" s="3" t="s">
        <v>571</v>
      </c>
      <c r="E27" s="33" t="s">
        <v>569</v>
      </c>
      <c r="F27" s="33"/>
      <c r="G27" s="2">
        <v>0.4</v>
      </c>
      <c r="H27" s="2">
        <v>3</v>
      </c>
      <c r="I27" s="3" t="s">
        <v>9</v>
      </c>
      <c r="J27" s="3"/>
    </row>
    <row r="28" spans="1:14" ht="55.2">
      <c r="A28" s="2" t="s">
        <v>429</v>
      </c>
      <c r="C28" s="3" t="s">
        <v>568</v>
      </c>
      <c r="D28" s="3" t="s">
        <v>570</v>
      </c>
      <c r="E28" s="33" t="s">
        <v>572</v>
      </c>
      <c r="F28" s="33"/>
      <c r="G28" s="2">
        <v>0.4</v>
      </c>
      <c r="H28" s="2">
        <v>3</v>
      </c>
      <c r="I28" s="3"/>
      <c r="J28" s="3"/>
    </row>
    <row r="29" spans="1:14" ht="124.2">
      <c r="A29" s="2" t="s">
        <v>429</v>
      </c>
      <c r="B29" s="49" t="s">
        <v>785</v>
      </c>
      <c r="C29" s="3" t="s">
        <v>35</v>
      </c>
      <c r="D29" s="33" t="s">
        <v>523</v>
      </c>
      <c r="E29" s="33"/>
      <c r="F29" s="33"/>
      <c r="G29" s="2">
        <v>0.6</v>
      </c>
      <c r="H29" s="2">
        <v>4</v>
      </c>
      <c r="I29" s="3" t="s">
        <v>14</v>
      </c>
      <c r="J29" s="3" t="s">
        <v>649</v>
      </c>
      <c r="K29" s="2"/>
      <c r="M29" s="2"/>
    </row>
    <row r="30" spans="1:14" ht="82.8">
      <c r="A30" s="2" t="s">
        <v>426</v>
      </c>
      <c r="B30" s="2" t="s">
        <v>36</v>
      </c>
      <c r="C30" s="3" t="s">
        <v>37</v>
      </c>
      <c r="D30" s="3" t="s">
        <v>521</v>
      </c>
      <c r="E30" s="33"/>
      <c r="F30" s="33" t="s">
        <v>489</v>
      </c>
      <c r="G30" s="2">
        <v>0.4</v>
      </c>
      <c r="H30" s="2">
        <v>3</v>
      </c>
      <c r="I30" s="3" t="s">
        <v>8</v>
      </c>
      <c r="J30" s="3"/>
      <c r="K30" s="2"/>
      <c r="M30" s="2"/>
    </row>
    <row r="31" spans="1:14" ht="138">
      <c r="A31" s="2" t="s">
        <v>426</v>
      </c>
      <c r="B31" s="2" t="s">
        <v>38</v>
      </c>
      <c r="C31" s="3" t="s">
        <v>39</v>
      </c>
      <c r="D31" s="3" t="s">
        <v>524</v>
      </c>
      <c r="E31" s="33" t="s">
        <v>490</v>
      </c>
      <c r="F31" s="33" t="s">
        <v>491</v>
      </c>
      <c r="G31" s="2">
        <v>0.4</v>
      </c>
      <c r="H31" s="2">
        <v>3</v>
      </c>
      <c r="I31" s="3" t="s">
        <v>14</v>
      </c>
      <c r="J31" s="3"/>
      <c r="K31" s="2"/>
      <c r="M31" s="2"/>
    </row>
    <row r="32" spans="1:14" ht="151.80000000000001">
      <c r="A32" s="2" t="s">
        <v>425</v>
      </c>
      <c r="B32" s="2" t="s">
        <v>16</v>
      </c>
      <c r="C32" s="3" t="s">
        <v>419</v>
      </c>
      <c r="D32" s="3" t="s">
        <v>525</v>
      </c>
      <c r="E32" s="33" t="s">
        <v>479</v>
      </c>
      <c r="F32" s="45" t="s">
        <v>478</v>
      </c>
      <c r="G32" s="2">
        <v>0.4</v>
      </c>
      <c r="H32" s="2">
        <v>4</v>
      </c>
      <c r="I32" s="3" t="s">
        <v>8</v>
      </c>
      <c r="J32" s="3"/>
      <c r="K32" s="3" t="s">
        <v>8</v>
      </c>
      <c r="M32" s="2" t="s">
        <v>159</v>
      </c>
    </row>
    <row r="33" spans="1:14" ht="262.2">
      <c r="A33" s="2" t="s">
        <v>427</v>
      </c>
      <c r="B33" s="2" t="s">
        <v>46</v>
      </c>
      <c r="C33" s="3" t="s">
        <v>45</v>
      </c>
      <c r="D33" s="3" t="s">
        <v>526</v>
      </c>
      <c r="E33" s="3"/>
      <c r="F33" s="3"/>
      <c r="G33" s="2">
        <v>0.6</v>
      </c>
      <c r="H33" s="2">
        <v>5</v>
      </c>
      <c r="I33" s="3" t="s">
        <v>14</v>
      </c>
      <c r="J33" s="3"/>
      <c r="K33" s="2"/>
      <c r="M33" s="2"/>
    </row>
    <row r="34" spans="1:14" ht="193.2">
      <c r="A34" s="2" t="s">
        <v>427</v>
      </c>
      <c r="C34" s="3" t="s">
        <v>333</v>
      </c>
      <c r="D34" s="3" t="s">
        <v>527</v>
      </c>
      <c r="E34" s="3"/>
      <c r="F34" s="3"/>
      <c r="G34" s="2">
        <v>0.2</v>
      </c>
      <c r="H34" s="2">
        <v>2</v>
      </c>
      <c r="I34" s="3" t="s">
        <v>14</v>
      </c>
      <c r="J34" s="3"/>
    </row>
    <row r="35" spans="1:14" ht="207">
      <c r="A35" s="2" t="s">
        <v>429</v>
      </c>
      <c r="C35" s="33" t="s">
        <v>336</v>
      </c>
      <c r="D35" s="3" t="s">
        <v>539</v>
      </c>
      <c r="E35" s="33"/>
      <c r="F35" s="33" t="s">
        <v>498</v>
      </c>
      <c r="G35" s="2">
        <v>0.5</v>
      </c>
      <c r="H35" s="2">
        <v>4</v>
      </c>
      <c r="I35" s="3" t="s">
        <v>8</v>
      </c>
      <c r="J35" s="3"/>
    </row>
    <row r="36" spans="1:14" ht="207">
      <c r="A36" s="2" t="s">
        <v>426</v>
      </c>
      <c r="B36" s="2" t="s">
        <v>48</v>
      </c>
      <c r="C36" s="3" t="s">
        <v>49</v>
      </c>
      <c r="D36" s="3" t="s">
        <v>529</v>
      </c>
      <c r="E36" s="33"/>
      <c r="F36" s="33"/>
      <c r="G36" s="2">
        <v>0.2</v>
      </c>
      <c r="H36" s="2"/>
      <c r="I36" s="3" t="s">
        <v>9</v>
      </c>
      <c r="J36" s="3"/>
      <c r="K36" s="3" t="s">
        <v>47</v>
      </c>
      <c r="M36" s="2"/>
    </row>
    <row r="37" spans="1:14" ht="124.2">
      <c r="A37" s="2" t="s">
        <v>425</v>
      </c>
      <c r="C37" s="3" t="s">
        <v>383</v>
      </c>
      <c r="D37" s="3" t="s">
        <v>530</v>
      </c>
      <c r="E37" s="33" t="s">
        <v>499</v>
      </c>
      <c r="F37" s="33"/>
      <c r="G37" s="2">
        <v>0.2</v>
      </c>
      <c r="H37" s="2">
        <v>4</v>
      </c>
      <c r="I37" s="3" t="s">
        <v>9</v>
      </c>
      <c r="J37" s="3"/>
    </row>
    <row r="38" spans="1:14" ht="151.80000000000001">
      <c r="A38" s="2" t="s">
        <v>425</v>
      </c>
      <c r="C38" s="3" t="s">
        <v>422</v>
      </c>
      <c r="D38" s="3" t="s">
        <v>531</v>
      </c>
      <c r="E38" s="33" t="s">
        <v>503</v>
      </c>
      <c r="F38" s="33"/>
      <c r="G38" s="2">
        <v>0.2</v>
      </c>
      <c r="H38" s="2">
        <v>4</v>
      </c>
      <c r="I38" s="3" t="s">
        <v>9</v>
      </c>
      <c r="J38" s="3"/>
    </row>
    <row r="39" spans="1:14" ht="165.6">
      <c r="A39" s="2" t="s">
        <v>425</v>
      </c>
      <c r="C39" s="3" t="s">
        <v>334</v>
      </c>
      <c r="D39" s="3" t="s">
        <v>532</v>
      </c>
      <c r="E39" s="33" t="s">
        <v>504</v>
      </c>
      <c r="F39" s="3"/>
      <c r="G39" s="2">
        <v>0.2</v>
      </c>
      <c r="H39" s="2">
        <v>3</v>
      </c>
      <c r="I39" s="3" t="s">
        <v>8</v>
      </c>
      <c r="J39" s="3"/>
    </row>
    <row r="40" spans="1:14" ht="193.2">
      <c r="A40" s="41" t="s">
        <v>425</v>
      </c>
      <c r="B40" s="51"/>
      <c r="C40" s="33" t="s">
        <v>387</v>
      </c>
      <c r="D40" s="33" t="s">
        <v>533</v>
      </c>
      <c r="E40" s="33" t="s">
        <v>505</v>
      </c>
      <c r="F40" s="3"/>
      <c r="G40" s="2">
        <v>0.2</v>
      </c>
      <c r="H40" s="2">
        <v>3</v>
      </c>
      <c r="I40" s="3" t="s">
        <v>9</v>
      </c>
      <c r="J40" s="3"/>
    </row>
    <row r="41" spans="1:14" ht="248.4">
      <c r="A41" s="2" t="s">
        <v>426</v>
      </c>
      <c r="B41" s="2" t="s">
        <v>55</v>
      </c>
      <c r="C41" s="17" t="s">
        <v>56</v>
      </c>
      <c r="D41" s="3" t="s">
        <v>534</v>
      </c>
      <c r="E41" s="33" t="s">
        <v>507</v>
      </c>
      <c r="F41" s="3" t="s">
        <v>506</v>
      </c>
      <c r="G41" s="2">
        <v>0.4</v>
      </c>
      <c r="H41" s="2"/>
      <c r="I41" s="3" t="s">
        <v>9</v>
      </c>
      <c r="J41" s="3"/>
      <c r="K41" s="3" t="s">
        <v>47</v>
      </c>
      <c r="M41" s="2"/>
    </row>
    <row r="42" spans="1:14" ht="110.4">
      <c r="A42" s="2" t="s">
        <v>430</v>
      </c>
      <c r="B42" s="2" t="s">
        <v>115</v>
      </c>
      <c r="C42" s="17" t="s">
        <v>114</v>
      </c>
      <c r="D42" s="3" t="s">
        <v>535</v>
      </c>
      <c r="E42" s="33" t="s">
        <v>573</v>
      </c>
      <c r="F42" s="33" t="s">
        <v>509</v>
      </c>
      <c r="G42">
        <v>0.4</v>
      </c>
      <c r="H42" s="2"/>
      <c r="I42" s="3" t="s">
        <v>9</v>
      </c>
      <c r="J42" s="3"/>
      <c r="K42" s="3" t="s">
        <v>47</v>
      </c>
    </row>
    <row r="43" spans="1:14" ht="138">
      <c r="A43" s="2" t="s">
        <v>430</v>
      </c>
      <c r="B43" s="2" t="s">
        <v>270</v>
      </c>
      <c r="C43" s="17" t="s">
        <v>541</v>
      </c>
      <c r="D43" s="3" t="s">
        <v>540</v>
      </c>
      <c r="E43" s="3"/>
      <c r="F43" s="33" t="s">
        <v>542</v>
      </c>
      <c r="G43" s="2">
        <v>0.4</v>
      </c>
      <c r="I43" s="3" t="s">
        <v>9</v>
      </c>
      <c r="J43" s="3" t="s">
        <v>649</v>
      </c>
      <c r="K43" s="3" t="s">
        <v>271</v>
      </c>
      <c r="M43" s="19"/>
      <c r="N43" s="3" t="s">
        <v>337</v>
      </c>
    </row>
    <row r="44" spans="1:14" ht="409.6">
      <c r="A44" s="2" t="s">
        <v>430</v>
      </c>
      <c r="B44" s="40" t="s">
        <v>269</v>
      </c>
      <c r="C44" s="17" t="s">
        <v>699</v>
      </c>
      <c r="D44" s="3" t="s">
        <v>700</v>
      </c>
      <c r="E44" s="3"/>
      <c r="F44" s="33" t="s">
        <v>510</v>
      </c>
      <c r="G44" s="2">
        <v>0.1</v>
      </c>
      <c r="H44" s="2"/>
      <c r="I44" s="3" t="s">
        <v>9</v>
      </c>
      <c r="J44" s="3" t="s">
        <v>649</v>
      </c>
      <c r="K44" s="3" t="s">
        <v>272</v>
      </c>
      <c r="N44" s="34"/>
    </row>
    <row r="45" spans="1:14">
      <c r="A45" s="2" t="s">
        <v>428</v>
      </c>
      <c r="C45" s="3" t="s">
        <v>701</v>
      </c>
      <c r="G45" s="2"/>
      <c r="K45" s="3"/>
    </row>
    <row r="46" spans="1:14">
      <c r="A46" s="2" t="s">
        <v>428</v>
      </c>
      <c r="C46" s="3" t="s">
        <v>702</v>
      </c>
    </row>
    <row r="47" spans="1:14">
      <c r="A47" s="2" t="s">
        <v>428</v>
      </c>
      <c r="C47" s="17" t="s">
        <v>22</v>
      </c>
    </row>
    <row r="48" spans="1:14">
      <c r="A48" s="2" t="s">
        <v>428</v>
      </c>
      <c r="C48" s="3" t="s">
        <v>703</v>
      </c>
    </row>
    <row r="49" spans="1:3">
      <c r="A49" s="2" t="s">
        <v>428</v>
      </c>
      <c r="C49" s="3" t="s">
        <v>704</v>
      </c>
    </row>
    <row r="50" spans="1:3">
      <c r="A50" s="2" t="s">
        <v>428</v>
      </c>
      <c r="C50" s="3" t="s">
        <v>54</v>
      </c>
    </row>
    <row r="51" spans="1:3" ht="28.8">
      <c r="A51" s="2" t="s">
        <v>415</v>
      </c>
      <c r="C51" s="3" t="s">
        <v>639</v>
      </c>
    </row>
    <row r="52" spans="1:3">
      <c r="A52" s="2" t="s">
        <v>428</v>
      </c>
      <c r="C52" s="3" t="s">
        <v>640</v>
      </c>
    </row>
    <row r="53" spans="1:3">
      <c r="A53" s="2" t="s">
        <v>428</v>
      </c>
      <c r="C53" s="3" t="s">
        <v>641</v>
      </c>
    </row>
    <row r="54" spans="1:3">
      <c r="A54" s="2" t="s">
        <v>428</v>
      </c>
      <c r="C54" s="3" t="s">
        <v>713</v>
      </c>
    </row>
    <row r="55" spans="1:3">
      <c r="A55" s="2" t="s">
        <v>693</v>
      </c>
      <c r="B55" s="56" t="s">
        <v>716</v>
      </c>
      <c r="C55" s="3" t="s">
        <v>644</v>
      </c>
    </row>
    <row r="56" spans="1:3" ht="28.8">
      <c r="A56" s="2" t="s">
        <v>714</v>
      </c>
      <c r="B56" t="s">
        <v>664</v>
      </c>
      <c r="C56" s="3" t="s">
        <v>705</v>
      </c>
    </row>
    <row r="57" spans="1:3">
      <c r="A57" s="2" t="s">
        <v>428</v>
      </c>
      <c r="B57" t="s">
        <v>665</v>
      </c>
      <c r="C57" s="3" t="s">
        <v>706</v>
      </c>
    </row>
    <row r="58" spans="1:3">
      <c r="A58" s="2" t="s">
        <v>428</v>
      </c>
      <c r="B58" t="s">
        <v>666</v>
      </c>
      <c r="C58" s="3" t="s">
        <v>707</v>
      </c>
    </row>
    <row r="59" spans="1:3">
      <c r="A59" s="2" t="s">
        <v>428</v>
      </c>
      <c r="B59" t="s">
        <v>671</v>
      </c>
      <c r="C59" s="3" t="s">
        <v>708</v>
      </c>
    </row>
    <row r="60" spans="1:3" ht="28.8">
      <c r="A60" s="2" t="s">
        <v>715</v>
      </c>
      <c r="B60" t="s">
        <v>678</v>
      </c>
      <c r="C60" s="3" t="s">
        <v>709</v>
      </c>
    </row>
    <row r="61" spans="1:3">
      <c r="B61" t="s">
        <v>679</v>
      </c>
      <c r="C61" s="3" t="s">
        <v>710</v>
      </c>
    </row>
    <row r="62" spans="1:3" ht="28.8">
      <c r="A62" s="2" t="s">
        <v>415</v>
      </c>
      <c r="B62" t="s">
        <v>683</v>
      </c>
      <c r="C62" s="3" t="s">
        <v>711</v>
      </c>
    </row>
    <row r="63" spans="1:3">
      <c r="A63" s="2" t="s">
        <v>428</v>
      </c>
      <c r="B63" t="s">
        <v>685</v>
      </c>
      <c r="C63" t="s">
        <v>712</v>
      </c>
    </row>
    <row r="64" spans="1:3">
      <c r="A64" s="2" t="s">
        <v>693</v>
      </c>
      <c r="B64" s="38" t="s">
        <v>718</v>
      </c>
      <c r="C64" s="3" t="s">
        <v>719</v>
      </c>
    </row>
    <row r="65" spans="1:4">
      <c r="A65" s="2" t="s">
        <v>693</v>
      </c>
      <c r="B65" s="38" t="s">
        <v>720</v>
      </c>
      <c r="C65" s="3" t="s">
        <v>721</v>
      </c>
    </row>
    <row r="66" spans="1:4">
      <c r="A66" s="2" t="s">
        <v>722</v>
      </c>
      <c r="B66" s="57" t="s">
        <v>723</v>
      </c>
      <c r="C66" s="2" t="s">
        <v>724</v>
      </c>
      <c r="D66" s="57" t="s">
        <v>731</v>
      </c>
    </row>
    <row r="67" spans="1:4">
      <c r="A67" s="2" t="s">
        <v>722</v>
      </c>
      <c r="B67" s="57" t="s">
        <v>725</v>
      </c>
      <c r="C67" s="2" t="s">
        <v>726</v>
      </c>
      <c r="D67" s="57" t="s">
        <v>730</v>
      </c>
    </row>
    <row r="68" spans="1:4">
      <c r="A68" s="2" t="s">
        <v>722</v>
      </c>
      <c r="B68" s="57" t="s">
        <v>727</v>
      </c>
      <c r="C68" s="3" t="s">
        <v>728</v>
      </c>
      <c r="D68" s="57" t="s">
        <v>729</v>
      </c>
    </row>
    <row r="69" spans="1:4">
      <c r="A69" s="2" t="s">
        <v>722</v>
      </c>
      <c r="B69" s="57" t="s">
        <v>732</v>
      </c>
      <c r="C69" s="3" t="s">
        <v>734</v>
      </c>
      <c r="D69" s="57" t="s">
        <v>737</v>
      </c>
    </row>
    <row r="70" spans="1:4">
      <c r="A70" s="2" t="s">
        <v>722</v>
      </c>
      <c r="B70" s="57" t="s">
        <v>733</v>
      </c>
      <c r="C70" s="3" t="s">
        <v>735</v>
      </c>
      <c r="D70" s="57" t="s">
        <v>736</v>
      </c>
    </row>
    <row r="71" spans="1:4">
      <c r="A71" s="2" t="s">
        <v>722</v>
      </c>
      <c r="B71" s="57" t="s">
        <v>738</v>
      </c>
      <c r="C71" s="3" t="s">
        <v>750</v>
      </c>
      <c r="D71" s="57" t="s">
        <v>739</v>
      </c>
    </row>
    <row r="72" spans="1:4">
      <c r="A72" s="2" t="s">
        <v>722</v>
      </c>
      <c r="B72" s="57" t="s">
        <v>544</v>
      </c>
      <c r="C72" s="3" t="s">
        <v>543</v>
      </c>
      <c r="D72" s="57" t="s">
        <v>740</v>
      </c>
    </row>
    <row r="73" spans="1:4">
      <c r="A73" s="2" t="s">
        <v>722</v>
      </c>
      <c r="B73" s="57" t="s">
        <v>743</v>
      </c>
      <c r="C73" s="3" t="s">
        <v>742</v>
      </c>
      <c r="D73" s="57" t="s">
        <v>741</v>
      </c>
    </row>
    <row r="74" spans="1:4">
      <c r="A74" s="2" t="s">
        <v>722</v>
      </c>
      <c r="B74" s="57" t="s">
        <v>744</v>
      </c>
      <c r="C74" s="3" t="s">
        <v>745</v>
      </c>
      <c r="D74" s="57" t="s">
        <v>748</v>
      </c>
    </row>
    <row r="75" spans="1:4">
      <c r="A75" s="2" t="s">
        <v>722</v>
      </c>
      <c r="B75" s="57" t="s">
        <v>746</v>
      </c>
      <c r="C75" s="3" t="s">
        <v>747</v>
      </c>
      <c r="D75" s="57" t="s">
        <v>749</v>
      </c>
    </row>
    <row r="76" spans="1:4">
      <c r="A76" s="2" t="s">
        <v>722</v>
      </c>
      <c r="B76" s="57" t="s">
        <v>751</v>
      </c>
      <c r="C76" s="3" t="s">
        <v>752</v>
      </c>
    </row>
    <row r="95" spans="1:14">
      <c r="C95" s="36" t="s">
        <v>418</v>
      </c>
    </row>
    <row r="96" spans="1:14" ht="69">
      <c r="A96" s="2"/>
      <c r="B96" s="40" t="s">
        <v>327</v>
      </c>
      <c r="C96" s="3" t="s">
        <v>326</v>
      </c>
      <c r="D96" s="3" t="s">
        <v>329</v>
      </c>
      <c r="E96" s="3"/>
      <c r="F96" s="3"/>
      <c r="G96" s="2">
        <v>0.7</v>
      </c>
      <c r="H96" s="2">
        <v>8</v>
      </c>
      <c r="I96" s="3" t="s">
        <v>8</v>
      </c>
      <c r="J96" s="3"/>
      <c r="K96" s="3" t="s">
        <v>328</v>
      </c>
      <c r="L96" s="3" t="s">
        <v>330</v>
      </c>
      <c r="M96" s="3" t="s">
        <v>331</v>
      </c>
      <c r="N96" s="3" t="s">
        <v>385</v>
      </c>
    </row>
    <row r="97" spans="1:13" ht="27.6">
      <c r="A97" s="2"/>
      <c r="B97" s="40" t="s">
        <v>19</v>
      </c>
      <c r="C97" s="3" t="s">
        <v>20</v>
      </c>
      <c r="D97" s="3" t="s">
        <v>18</v>
      </c>
      <c r="E97" s="3"/>
      <c r="F97" s="3"/>
      <c r="G97" s="2">
        <v>0.5</v>
      </c>
      <c r="H97" s="2">
        <v>5</v>
      </c>
      <c r="I97" s="3" t="s">
        <v>8</v>
      </c>
      <c r="J97" s="3"/>
      <c r="K97" s="3" t="s">
        <v>8</v>
      </c>
    </row>
    <row r="98" spans="1:13" ht="55.2">
      <c r="A98" s="2"/>
      <c r="B98" s="40" t="s">
        <v>25</v>
      </c>
      <c r="C98" s="3" t="s">
        <v>26</v>
      </c>
      <c r="D98" s="3" t="s">
        <v>421</v>
      </c>
      <c r="E98" s="3"/>
      <c r="F98" s="3"/>
      <c r="G98" s="2">
        <v>0.6</v>
      </c>
      <c r="H98" s="2">
        <v>5</v>
      </c>
      <c r="I98" s="3" t="s">
        <v>8</v>
      </c>
      <c r="J98" s="3"/>
      <c r="K98" s="3" t="s">
        <v>8</v>
      </c>
      <c r="M98" s="2"/>
    </row>
    <row r="99" spans="1:13" ht="41.4">
      <c r="A99" s="2" t="s">
        <v>428</v>
      </c>
      <c r="B99" s="40" t="s">
        <v>21</v>
      </c>
      <c r="C99" s="3" t="s">
        <v>22</v>
      </c>
      <c r="D99" s="3" t="s">
        <v>433</v>
      </c>
      <c r="E99" s="3"/>
      <c r="F99" s="3"/>
      <c r="G99" s="2">
        <v>0.5</v>
      </c>
      <c r="H99" s="2">
        <v>4</v>
      </c>
      <c r="I99" s="3" t="s">
        <v>8</v>
      </c>
      <c r="J99" s="3"/>
      <c r="K99" s="3" t="s">
        <v>8</v>
      </c>
      <c r="M99" s="2"/>
    </row>
    <row r="100" spans="1:13" ht="27.6">
      <c r="A100" s="2" t="s">
        <v>426</v>
      </c>
      <c r="B100" s="40" t="s">
        <v>53</v>
      </c>
      <c r="C100" s="3" t="s">
        <v>54</v>
      </c>
      <c r="D100" s="3" t="s">
        <v>434</v>
      </c>
      <c r="E100" s="3"/>
      <c r="F100" s="3"/>
      <c r="G100" s="2">
        <v>0.3</v>
      </c>
      <c r="H100" s="2">
        <v>4</v>
      </c>
      <c r="I100" s="3" t="s">
        <v>9</v>
      </c>
      <c r="J100" s="3"/>
      <c r="K100" s="2"/>
    </row>
    <row r="101" spans="1:13" ht="151.80000000000001">
      <c r="A101" s="2" t="s">
        <v>429</v>
      </c>
      <c r="C101" s="3" t="s">
        <v>335</v>
      </c>
      <c r="D101" s="3" t="s">
        <v>496</v>
      </c>
      <c r="E101" s="33" t="s">
        <v>497</v>
      </c>
      <c r="F101" s="3"/>
      <c r="G101" s="2">
        <v>0.2</v>
      </c>
      <c r="H101" s="2">
        <v>2</v>
      </c>
      <c r="I101" s="3" t="s">
        <v>14</v>
      </c>
      <c r="J101" s="3"/>
    </row>
    <row r="102" spans="1:13" ht="165.6">
      <c r="A102" s="2" t="s">
        <v>425</v>
      </c>
      <c r="C102" s="3" t="s">
        <v>386</v>
      </c>
      <c r="D102" s="3" t="s">
        <v>500</v>
      </c>
      <c r="E102" s="33" t="s">
        <v>501</v>
      </c>
      <c r="F102" s="33" t="s">
        <v>502</v>
      </c>
      <c r="G102" s="2">
        <v>0.2</v>
      </c>
      <c r="H102" s="2">
        <v>3</v>
      </c>
      <c r="I102" s="3" t="s">
        <v>8</v>
      </c>
      <c r="J102" s="3"/>
    </row>
    <row r="103" spans="1:13" ht="82.8">
      <c r="A103" s="2" t="s">
        <v>429</v>
      </c>
      <c r="C103" s="3" t="s">
        <v>332</v>
      </c>
      <c r="D103" s="3" t="s">
        <v>528</v>
      </c>
      <c r="E103" s="3"/>
      <c r="F103" s="3" t="s">
        <v>495</v>
      </c>
      <c r="G103" s="2">
        <v>0.2</v>
      </c>
      <c r="H103" s="2">
        <v>3</v>
      </c>
      <c r="I103" s="3" t="s">
        <v>14</v>
      </c>
      <c r="J103" s="3"/>
      <c r="M103" s="2"/>
    </row>
    <row r="104" spans="1:13" ht="27.6">
      <c r="A104" s="2" t="s">
        <v>425</v>
      </c>
      <c r="C104" s="17" t="s">
        <v>566</v>
      </c>
    </row>
    <row r="105" spans="1:13" ht="110.4">
      <c r="A105" s="2" t="s">
        <v>429</v>
      </c>
      <c r="B105" s="2" t="s">
        <v>33</v>
      </c>
      <c r="C105" s="3" t="s">
        <v>34</v>
      </c>
      <c r="D105" s="3" t="s">
        <v>522</v>
      </c>
      <c r="E105" s="33" t="s">
        <v>488</v>
      </c>
      <c r="F105" s="33" t="s">
        <v>520</v>
      </c>
      <c r="G105" s="2">
        <v>0.6</v>
      </c>
      <c r="H105" s="2">
        <v>4</v>
      </c>
      <c r="I105" s="3" t="s">
        <v>8</v>
      </c>
      <c r="J105" s="3"/>
      <c r="K105" s="2"/>
      <c r="M105" s="2"/>
    </row>
    <row r="106" spans="1:13">
      <c r="C106" s="3" t="s">
        <v>639</v>
      </c>
    </row>
    <row r="107" spans="1:13">
      <c r="C107" s="3" t="s">
        <v>640</v>
      </c>
    </row>
    <row r="108" spans="1:13">
      <c r="C108" s="3" t="s">
        <v>641</v>
      </c>
    </row>
    <row r="109" spans="1:13" ht="27.6">
      <c r="C109" s="3" t="s">
        <v>642</v>
      </c>
    </row>
    <row r="110" spans="1:13">
      <c r="C110" s="3" t="s">
        <v>643</v>
      </c>
    </row>
    <row r="111" spans="1:13">
      <c r="C111" s="3" t="s">
        <v>644</v>
      </c>
      <c r="D111" s="5" t="s">
        <v>645</v>
      </c>
    </row>
    <row r="112" spans="1:13" ht="41.4">
      <c r="C112" s="3" t="s">
        <v>646</v>
      </c>
    </row>
    <row r="113" spans="3:5" ht="27.6">
      <c r="C113" s="3" t="s">
        <v>647</v>
      </c>
    </row>
    <row r="114" spans="3:5" ht="55.2">
      <c r="C114" s="3" t="s">
        <v>648</v>
      </c>
    </row>
    <row r="115" spans="3:5">
      <c r="D115" t="s">
        <v>664</v>
      </c>
    </row>
    <row r="116" spans="3:5">
      <c r="D116" t="s">
        <v>665</v>
      </c>
    </row>
    <row r="117" spans="3:5">
      <c r="D117" t="s">
        <v>666</v>
      </c>
      <c r="E117" s="5" t="s">
        <v>667</v>
      </c>
    </row>
    <row r="118" spans="3:5">
      <c r="D118" t="s">
        <v>668</v>
      </c>
    </row>
    <row r="119" spans="3:5">
      <c r="D119" t="s">
        <v>669</v>
      </c>
    </row>
    <row r="120" spans="3:5">
      <c r="D120" t="s">
        <v>670</v>
      </c>
    </row>
    <row r="121" spans="3:5">
      <c r="D121" t="s">
        <v>671</v>
      </c>
    </row>
    <row r="122" spans="3:5">
      <c r="D122" t="s">
        <v>672</v>
      </c>
      <c r="E122" s="5" t="s">
        <v>673</v>
      </c>
    </row>
    <row r="123" spans="3:5">
      <c r="D123" t="s">
        <v>674</v>
      </c>
    </row>
    <row r="124" spans="3:5">
      <c r="D124" t="s">
        <v>675</v>
      </c>
    </row>
    <row r="125" spans="3:5">
      <c r="D125" t="s">
        <v>676</v>
      </c>
    </row>
    <row r="126" spans="3:5">
      <c r="D126" t="s">
        <v>677</v>
      </c>
    </row>
    <row r="127" spans="3:5">
      <c r="D127" t="s">
        <v>678</v>
      </c>
    </row>
    <row r="128" spans="3:5">
      <c r="D128" t="s">
        <v>679</v>
      </c>
    </row>
    <row r="129" spans="4:5">
      <c r="D129" t="s">
        <v>680</v>
      </c>
    </row>
    <row r="130" spans="4:5">
      <c r="D130" t="s">
        <v>681</v>
      </c>
    </row>
    <row r="131" spans="4:5">
      <c r="D131" t="s">
        <v>682</v>
      </c>
    </row>
    <row r="132" spans="4:5">
      <c r="D132" t="s">
        <v>666</v>
      </c>
    </row>
    <row r="133" spans="4:5">
      <c r="D133" t="s">
        <v>683</v>
      </c>
    </row>
    <row r="134" spans="4:5">
      <c r="D134" t="s">
        <v>684</v>
      </c>
    </row>
    <row r="135" spans="4:5">
      <c r="D135" t="s">
        <v>685</v>
      </c>
    </row>
    <row r="136" spans="4:5">
      <c r="D136" t="s">
        <v>686</v>
      </c>
      <c r="E136" s="5" t="s">
        <v>687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150</v>
      </c>
    </row>
    <row r="2" spans="1:12" ht="41.4">
      <c r="A2" s="9" t="s">
        <v>7</v>
      </c>
      <c r="B2" s="9" t="s">
        <v>6</v>
      </c>
      <c r="C2" s="9" t="s">
        <v>152</v>
      </c>
      <c r="D2" s="9" t="s">
        <v>5</v>
      </c>
      <c r="E2" s="9" t="s">
        <v>3</v>
      </c>
      <c r="F2" s="9" t="s">
        <v>4</v>
      </c>
      <c r="G2" s="9" t="s">
        <v>57</v>
      </c>
      <c r="H2" s="9" t="s">
        <v>1</v>
      </c>
      <c r="I2" s="9" t="s">
        <v>202</v>
      </c>
      <c r="J2" s="9" t="s">
        <v>0</v>
      </c>
      <c r="K2" s="9" t="s">
        <v>151</v>
      </c>
      <c r="L2" s="9" t="s">
        <v>105</v>
      </c>
    </row>
    <row r="3" spans="1:12">
      <c r="A3" t="s">
        <v>52</v>
      </c>
      <c r="B3" t="s">
        <v>303</v>
      </c>
      <c r="C3" t="s">
        <v>125</v>
      </c>
      <c r="D3" t="s">
        <v>423</v>
      </c>
      <c r="F3">
        <v>90</v>
      </c>
      <c r="G3" t="s">
        <v>9</v>
      </c>
      <c r="H3" t="s">
        <v>352</v>
      </c>
      <c r="I3" s="19"/>
    </row>
    <row r="4" spans="1:12">
      <c r="A4" t="s">
        <v>63</v>
      </c>
      <c r="B4" t="s">
        <v>82</v>
      </c>
      <c r="C4" t="s">
        <v>153</v>
      </c>
      <c r="D4" t="s">
        <v>423</v>
      </c>
      <c r="F4">
        <v>80</v>
      </c>
      <c r="G4" t="s">
        <v>8</v>
      </c>
      <c r="H4" t="s">
        <v>351</v>
      </c>
      <c r="L4" s="5"/>
    </row>
    <row r="5" spans="1:12" ht="28.8">
      <c r="A5" t="s">
        <v>136</v>
      </c>
      <c r="B5" t="s">
        <v>295</v>
      </c>
      <c r="C5" t="s">
        <v>154</v>
      </c>
      <c r="E5">
        <v>0.5</v>
      </c>
      <c r="F5">
        <v>90</v>
      </c>
      <c r="G5" t="s">
        <v>9</v>
      </c>
      <c r="K5" t="s">
        <v>290</v>
      </c>
      <c r="L5" s="5" t="s">
        <v>302</v>
      </c>
    </row>
    <row r="6" spans="1:12">
      <c r="A6" t="s">
        <v>133</v>
      </c>
      <c r="B6" t="s">
        <v>296</v>
      </c>
      <c r="C6" t="s">
        <v>154</v>
      </c>
      <c r="E6">
        <v>0</v>
      </c>
      <c r="F6">
        <v>10</v>
      </c>
      <c r="G6" t="s">
        <v>8</v>
      </c>
      <c r="K6" t="s">
        <v>291</v>
      </c>
    </row>
    <row r="7" spans="1:12">
      <c r="A7" t="s">
        <v>134</v>
      </c>
      <c r="B7" t="s">
        <v>297</v>
      </c>
      <c r="C7" t="s">
        <v>154</v>
      </c>
      <c r="E7">
        <v>0</v>
      </c>
      <c r="F7">
        <v>0</v>
      </c>
      <c r="G7" t="s">
        <v>8</v>
      </c>
      <c r="K7" t="s">
        <v>293</v>
      </c>
    </row>
    <row r="8" spans="1:12">
      <c r="A8" t="s">
        <v>135</v>
      </c>
      <c r="B8" t="s">
        <v>298</v>
      </c>
      <c r="C8" t="s">
        <v>154</v>
      </c>
      <c r="E8">
        <v>0</v>
      </c>
      <c r="F8">
        <v>0</v>
      </c>
      <c r="G8" t="s">
        <v>8</v>
      </c>
      <c r="K8" t="s">
        <v>292</v>
      </c>
    </row>
    <row r="9" spans="1:12">
      <c r="A9" t="s">
        <v>289</v>
      </c>
      <c r="C9" t="s">
        <v>154</v>
      </c>
      <c r="E9">
        <v>0.3</v>
      </c>
      <c r="F9">
        <v>50</v>
      </c>
      <c r="G9" t="s">
        <v>9</v>
      </c>
      <c r="K9" t="s">
        <v>294</v>
      </c>
    </row>
    <row r="10" spans="1:12">
      <c r="A10" t="s">
        <v>299</v>
      </c>
      <c r="B10" t="s">
        <v>301</v>
      </c>
      <c r="C10" t="s">
        <v>154</v>
      </c>
      <c r="E10">
        <v>0.4</v>
      </c>
      <c r="F10">
        <v>60</v>
      </c>
      <c r="G10" t="s">
        <v>8</v>
      </c>
      <c r="K10" s="5" t="s">
        <v>300</v>
      </c>
    </row>
    <row r="11" spans="1:12" ht="28.8">
      <c r="A11" t="s">
        <v>341</v>
      </c>
      <c r="B11" t="s">
        <v>342</v>
      </c>
      <c r="C11" t="s">
        <v>154</v>
      </c>
      <c r="D11" t="s">
        <v>424</v>
      </c>
      <c r="E11">
        <v>0.5</v>
      </c>
      <c r="F11">
        <v>80</v>
      </c>
      <c r="G11" t="s">
        <v>9</v>
      </c>
      <c r="K11" s="5" t="s">
        <v>353</v>
      </c>
      <c r="L11" t="s">
        <v>354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139</v>
      </c>
    </row>
    <row r="3" spans="1:10">
      <c r="A3" s="14" t="s">
        <v>171</v>
      </c>
      <c r="E3" t="s">
        <v>410</v>
      </c>
    </row>
    <row r="4" spans="1:10" ht="27.6">
      <c r="A4" s="7" t="s">
        <v>6</v>
      </c>
      <c r="B4" s="7" t="s">
        <v>61</v>
      </c>
      <c r="C4" s="7" t="s">
        <v>127</v>
      </c>
      <c r="D4" s="7" t="s">
        <v>167</v>
      </c>
      <c r="E4" s="7" t="s">
        <v>140</v>
      </c>
      <c r="F4" s="7" t="s">
        <v>141</v>
      </c>
      <c r="G4" s="7" t="s">
        <v>149</v>
      </c>
    </row>
    <row r="5" spans="1:10" ht="28.8">
      <c r="C5" s="5" t="s">
        <v>173</v>
      </c>
      <c r="D5" s="5" t="s">
        <v>183</v>
      </c>
      <c r="E5" s="5" t="s">
        <v>174</v>
      </c>
      <c r="F5" s="5" t="s">
        <v>175</v>
      </c>
      <c r="G5" s="5" t="s">
        <v>165</v>
      </c>
    </row>
    <row r="8" spans="1:10">
      <c r="A8" s="14" t="s">
        <v>172</v>
      </c>
      <c r="E8" t="s">
        <v>411</v>
      </c>
    </row>
    <row r="9" spans="1:10" ht="41.4">
      <c r="A9" s="7" t="s">
        <v>6</v>
      </c>
      <c r="B9" s="7" t="s">
        <v>61</v>
      </c>
      <c r="C9" s="7" t="s">
        <v>166</v>
      </c>
      <c r="D9" s="7" t="s">
        <v>168</v>
      </c>
      <c r="E9" s="7" t="s">
        <v>60</v>
      </c>
      <c r="F9" s="7" t="s">
        <v>140</v>
      </c>
      <c r="G9" s="7" t="s">
        <v>170</v>
      </c>
      <c r="H9" s="7" t="s">
        <v>169</v>
      </c>
      <c r="I9" s="7" t="s">
        <v>149</v>
      </c>
      <c r="J9"/>
    </row>
    <row r="10" spans="1:10" ht="43.2">
      <c r="C10" s="5" t="s">
        <v>176</v>
      </c>
      <c r="D10" s="5" t="s">
        <v>177</v>
      </c>
      <c r="E10" s="5" t="s">
        <v>178</v>
      </c>
      <c r="F10" s="5" t="s">
        <v>179</v>
      </c>
      <c r="G10" s="5" t="s">
        <v>180</v>
      </c>
      <c r="H10" s="5" t="s">
        <v>181</v>
      </c>
      <c r="I10" s="5" t="s">
        <v>182</v>
      </c>
      <c r="J10" s="17"/>
    </row>
    <row r="11" spans="1:10">
      <c r="F11" s="18"/>
      <c r="G11" s="18"/>
      <c r="H11" s="17"/>
      <c r="I11" s="17"/>
      <c r="J11"/>
    </row>
    <row r="12" spans="1:10">
      <c r="A12"/>
      <c r="B12"/>
      <c r="C12"/>
      <c r="D12"/>
      <c r="E12"/>
      <c r="F12"/>
      <c r="G12"/>
      <c r="H12"/>
      <c r="I12"/>
      <c r="J12"/>
    </row>
    <row r="13" spans="1:10" ht="15.6">
      <c r="A13" s="23" t="s">
        <v>184</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224</v>
      </c>
      <c r="K1" s="14" t="s">
        <v>304</v>
      </c>
    </row>
    <row r="2" spans="1:13">
      <c r="K2" t="s">
        <v>305</v>
      </c>
      <c r="L2" t="s">
        <v>306</v>
      </c>
    </row>
    <row r="3" spans="1:13" ht="57.6">
      <c r="A3" s="14" t="s">
        <v>225</v>
      </c>
      <c r="B3" s="13" t="s">
        <v>226</v>
      </c>
      <c r="C3" s="13" t="s">
        <v>227</v>
      </c>
      <c r="D3" s="14" t="s">
        <v>228</v>
      </c>
      <c r="E3" s="13" t="s">
        <v>231</v>
      </c>
      <c r="F3" s="13" t="s">
        <v>230</v>
      </c>
      <c r="G3" s="14" t="s">
        <v>229</v>
      </c>
      <c r="K3" t="s">
        <v>310</v>
      </c>
      <c r="L3" s="5" t="s">
        <v>311</v>
      </c>
      <c r="M3" s="5" t="s">
        <v>321</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307</v>
      </c>
      <c r="L4" s="5" t="s">
        <v>308</v>
      </c>
      <c r="M4" s="5" t="s">
        <v>322</v>
      </c>
    </row>
    <row r="5" spans="1:13" ht="43.2">
      <c r="A5">
        <v>3</v>
      </c>
      <c r="B5">
        <v>4</v>
      </c>
      <c r="C5">
        <v>2</v>
      </c>
      <c r="D5">
        <f t="shared" si="0"/>
        <v>15</v>
      </c>
      <c r="E5">
        <f t="shared" si="1"/>
        <v>60</v>
      </c>
      <c r="F5">
        <f t="shared" si="2"/>
        <v>80</v>
      </c>
      <c r="G5">
        <f t="shared" si="3"/>
        <v>50</v>
      </c>
      <c r="L5" s="5" t="s">
        <v>309</v>
      </c>
    </row>
    <row r="6" spans="1:13" ht="28.8">
      <c r="A6">
        <v>1</v>
      </c>
      <c r="B6">
        <v>1</v>
      </c>
      <c r="C6">
        <v>1</v>
      </c>
      <c r="D6">
        <f t="shared" si="0"/>
        <v>5</v>
      </c>
      <c r="E6">
        <f t="shared" si="1"/>
        <v>90</v>
      </c>
      <c r="F6">
        <f t="shared" si="2"/>
        <v>90</v>
      </c>
      <c r="G6">
        <f t="shared" si="3"/>
        <v>56</v>
      </c>
      <c r="K6" t="s">
        <v>312</v>
      </c>
      <c r="L6" s="5" t="s">
        <v>313</v>
      </c>
    </row>
    <row r="7" spans="1:13">
      <c r="A7">
        <v>3</v>
      </c>
      <c r="B7">
        <v>10</v>
      </c>
      <c r="C7">
        <v>6</v>
      </c>
      <c r="D7">
        <f t="shared" si="0"/>
        <v>15</v>
      </c>
      <c r="E7">
        <f t="shared" si="1"/>
        <v>0</v>
      </c>
      <c r="F7">
        <f t="shared" si="2"/>
        <v>40</v>
      </c>
      <c r="G7">
        <f t="shared" si="3"/>
        <v>22</v>
      </c>
      <c r="L7" s="5" t="s">
        <v>314</v>
      </c>
    </row>
    <row r="8" spans="1:13" ht="28.8">
      <c r="A8">
        <v>14</v>
      </c>
      <c r="B8">
        <v>4</v>
      </c>
      <c r="C8">
        <v>4</v>
      </c>
      <c r="D8">
        <f t="shared" si="0"/>
        <v>70</v>
      </c>
      <c r="E8">
        <f t="shared" si="1"/>
        <v>60</v>
      </c>
      <c r="F8">
        <f t="shared" si="2"/>
        <v>60</v>
      </c>
      <c r="G8">
        <f t="shared" si="3"/>
        <v>64</v>
      </c>
      <c r="K8" t="s">
        <v>316</v>
      </c>
      <c r="L8" s="5" t="s">
        <v>315</v>
      </c>
    </row>
    <row r="9" spans="1:13" ht="27">
      <c r="A9">
        <v>1</v>
      </c>
      <c r="B9">
        <v>10</v>
      </c>
      <c r="C9">
        <v>5</v>
      </c>
      <c r="D9">
        <f t="shared" si="0"/>
        <v>5</v>
      </c>
      <c r="E9">
        <f t="shared" si="1"/>
        <v>0</v>
      </c>
      <c r="F9">
        <f t="shared" si="2"/>
        <v>50</v>
      </c>
      <c r="G9">
        <f t="shared" si="3"/>
        <v>22</v>
      </c>
      <c r="K9" s="14" t="s">
        <v>318</v>
      </c>
      <c r="L9" s="32" t="s">
        <v>317</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320</v>
      </c>
      <c r="L11" s="5" t="s">
        <v>319</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155</v>
      </c>
      <c r="G1" s="24" t="s">
        <v>162</v>
      </c>
      <c r="J1" s="19" t="s">
        <v>164</v>
      </c>
    </row>
    <row r="3" spans="2:13">
      <c r="B3" s="5"/>
      <c r="C3" s="5" t="s">
        <v>126</v>
      </c>
      <c r="E3" s="5"/>
      <c r="F3" s="5" t="s">
        <v>128</v>
      </c>
      <c r="H3" s="5"/>
      <c r="I3" s="5"/>
      <c r="J3" s="5"/>
      <c r="K3" s="5"/>
      <c r="L3" s="5"/>
    </row>
    <row r="4" spans="2:13" ht="28.8">
      <c r="B4" s="5" t="s">
        <v>7</v>
      </c>
      <c r="C4" s="13" t="s">
        <v>142</v>
      </c>
      <c r="D4" s="13" t="s">
        <v>143</v>
      </c>
      <c r="E4" s="13" t="s">
        <v>144</v>
      </c>
      <c r="F4" s="13" t="s">
        <v>145</v>
      </c>
      <c r="G4" s="13" t="s">
        <v>146</v>
      </c>
      <c r="H4" s="13" t="s">
        <v>147</v>
      </c>
      <c r="I4" s="5" t="s">
        <v>130</v>
      </c>
      <c r="J4" s="5" t="s">
        <v>148</v>
      </c>
      <c r="K4" s="5" t="s">
        <v>138</v>
      </c>
      <c r="L4" s="5" t="s">
        <v>131</v>
      </c>
      <c r="M4" s="13" t="s">
        <v>137</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15</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32</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142</v>
      </c>
      <c r="D12" s="13" t="s">
        <v>143</v>
      </c>
      <c r="E12" s="13" t="s">
        <v>144</v>
      </c>
      <c r="F12" s="13" t="s">
        <v>145</v>
      </c>
      <c r="G12" s="13" t="s">
        <v>146</v>
      </c>
      <c r="H12" s="13" t="s">
        <v>147</v>
      </c>
      <c r="I12" s="5" t="s">
        <v>130</v>
      </c>
      <c r="J12" s="5" t="s">
        <v>148</v>
      </c>
      <c r="K12" s="5" t="s">
        <v>138</v>
      </c>
      <c r="L12" s="5" t="s">
        <v>131</v>
      </c>
      <c r="M12" s="13" t="s">
        <v>137</v>
      </c>
    </row>
    <row r="13" spans="2:13">
      <c r="B13" s="5" t="s">
        <v>129</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15</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45</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32</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43</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161</v>
      </c>
      <c r="B1" s="5"/>
      <c r="C1" s="5"/>
      <c r="D1" s="5"/>
      <c r="E1" s="5"/>
      <c r="F1" s="26" t="s">
        <v>163</v>
      </c>
      <c r="G1" s="5"/>
      <c r="H1" s="5"/>
    </row>
    <row r="2" spans="1:9">
      <c r="A2" s="5"/>
      <c r="B2" s="5"/>
      <c r="C2" s="5"/>
      <c r="D2" s="5"/>
      <c r="E2" s="5"/>
      <c r="G2" s="5"/>
      <c r="H2" s="5"/>
    </row>
    <row r="3" spans="1:9">
      <c r="A3" s="20" t="s">
        <v>204</v>
      </c>
      <c r="B3" s="5"/>
      <c r="C3" s="5"/>
      <c r="D3" s="5"/>
      <c r="E3" s="5"/>
      <c r="F3" s="5"/>
      <c r="G3" s="5"/>
      <c r="H3" s="5"/>
    </row>
    <row r="4" spans="1:9">
      <c r="F4" s="5"/>
      <c r="G4" s="5"/>
      <c r="H4" s="5"/>
    </row>
    <row r="5" spans="1:9">
      <c r="A5" t="s">
        <v>189</v>
      </c>
      <c r="B5" s="5"/>
      <c r="C5" s="5"/>
      <c r="D5" s="5"/>
      <c r="E5" s="5"/>
      <c r="F5" s="5"/>
      <c r="G5" s="5"/>
      <c r="H5" s="5"/>
    </row>
    <row r="6" spans="1:9" ht="43.2">
      <c r="A6" s="22" t="s">
        <v>61</v>
      </c>
      <c r="B6" s="22" t="s">
        <v>185</v>
      </c>
      <c r="C6" s="22" t="s">
        <v>60</v>
      </c>
      <c r="D6" s="22" t="s">
        <v>187</v>
      </c>
      <c r="E6" s="22" t="s">
        <v>186</v>
      </c>
      <c r="F6" s="22" t="s">
        <v>188</v>
      </c>
      <c r="G6" s="22" t="s">
        <v>190</v>
      </c>
      <c r="H6" s="22" t="s">
        <v>200</v>
      </c>
      <c r="I6" s="22" t="s">
        <v>191</v>
      </c>
    </row>
    <row r="7" spans="1:9">
      <c r="A7" s="5" t="s">
        <v>63</v>
      </c>
      <c r="B7" s="5" t="s">
        <v>193</v>
      </c>
      <c r="C7" s="5" t="s">
        <v>194</v>
      </c>
      <c r="D7" s="5">
        <v>95</v>
      </c>
      <c r="E7" s="5">
        <v>185</v>
      </c>
      <c r="F7" s="5">
        <v>1</v>
      </c>
      <c r="G7" s="5">
        <v>10</v>
      </c>
      <c r="H7">
        <f>F7*D7</f>
        <v>95</v>
      </c>
      <c r="I7">
        <f>D7*F7*G7</f>
        <v>950</v>
      </c>
    </row>
    <row r="8" spans="1:9">
      <c r="A8" t="s">
        <v>133</v>
      </c>
      <c r="B8" t="s">
        <v>193</v>
      </c>
      <c r="C8" t="s">
        <v>132</v>
      </c>
      <c r="D8">
        <v>80</v>
      </c>
      <c r="E8" t="s">
        <v>132</v>
      </c>
      <c r="F8">
        <v>0.5</v>
      </c>
      <c r="G8">
        <v>10</v>
      </c>
      <c r="H8">
        <f>F8*D8</f>
        <v>40</v>
      </c>
      <c r="I8">
        <f t="shared" ref="I8:I11" si="0">D8*F8*G8</f>
        <v>400</v>
      </c>
    </row>
    <row r="9" spans="1:9">
      <c r="A9" t="s">
        <v>133</v>
      </c>
      <c r="B9" t="s">
        <v>195</v>
      </c>
      <c r="C9" t="s">
        <v>196</v>
      </c>
      <c r="D9">
        <v>50</v>
      </c>
      <c r="E9" t="s">
        <v>196</v>
      </c>
      <c r="F9">
        <v>0.8</v>
      </c>
      <c r="G9">
        <v>10</v>
      </c>
      <c r="H9">
        <f>F9*D9</f>
        <v>40</v>
      </c>
      <c r="I9">
        <f t="shared" si="0"/>
        <v>400</v>
      </c>
    </row>
    <row r="10" spans="1:9">
      <c r="A10" t="s">
        <v>192</v>
      </c>
      <c r="B10" t="s">
        <v>193</v>
      </c>
      <c r="C10" t="s">
        <v>199</v>
      </c>
      <c r="D10">
        <v>80</v>
      </c>
      <c r="E10" t="s">
        <v>199</v>
      </c>
      <c r="F10">
        <v>0.5</v>
      </c>
      <c r="G10">
        <v>10</v>
      </c>
      <c r="H10">
        <f>F10*D10</f>
        <v>40</v>
      </c>
      <c r="I10">
        <f t="shared" si="0"/>
        <v>400</v>
      </c>
    </row>
    <row r="11" spans="1:9">
      <c r="A11" t="s">
        <v>134</v>
      </c>
      <c r="B11" t="s">
        <v>195</v>
      </c>
      <c r="C11" t="s">
        <v>197</v>
      </c>
      <c r="D11">
        <v>30</v>
      </c>
      <c r="E11" t="s">
        <v>198</v>
      </c>
      <c r="F11">
        <v>0.6</v>
      </c>
      <c r="G11">
        <v>0</v>
      </c>
      <c r="H11">
        <f>F11*D11</f>
        <v>18</v>
      </c>
      <c r="I11">
        <f t="shared" si="0"/>
        <v>0</v>
      </c>
    </row>
    <row r="12" spans="1:9">
      <c r="D12">
        <f>SUM(D7:D11)</f>
        <v>335</v>
      </c>
      <c r="F12">
        <f>SUM(F7:F11)</f>
        <v>3.4</v>
      </c>
      <c r="H12">
        <f>SUM(H7:H11)</f>
        <v>233</v>
      </c>
      <c r="I12" s="25">
        <f>SUM(I7:I11)/H12</f>
        <v>9.2274678111587978</v>
      </c>
    </row>
    <row r="14" spans="1:9">
      <c r="A14" s="19" t="s">
        <v>201</v>
      </c>
    </row>
    <row r="15" spans="1:9">
      <c r="A15" s="20" t="s">
        <v>203</v>
      </c>
    </row>
    <row r="17" spans="1:1">
      <c r="A17" t="s">
        <v>388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206</v>
      </c>
    </row>
    <row r="3" spans="1:14">
      <c r="A3" s="14" t="s">
        <v>207</v>
      </c>
      <c r="B3" s="14" t="s">
        <v>208</v>
      </c>
      <c r="C3" s="14" t="s">
        <v>209</v>
      </c>
      <c r="D3" s="14" t="s">
        <v>122</v>
      </c>
      <c r="E3" s="14" t="s">
        <v>210</v>
      </c>
      <c r="F3" s="14" t="s">
        <v>211</v>
      </c>
      <c r="G3" s="14" t="s">
        <v>84</v>
      </c>
      <c r="H3" s="14" t="s">
        <v>212</v>
      </c>
      <c r="I3" s="14" t="s">
        <v>217</v>
      </c>
      <c r="J3" s="14" t="s">
        <v>218</v>
      </c>
      <c r="K3" s="14" t="s">
        <v>232</v>
      </c>
      <c r="L3" s="14" t="s">
        <v>220</v>
      </c>
    </row>
    <row r="4" spans="1:14">
      <c r="I4" t="s">
        <v>222</v>
      </c>
      <c r="K4" t="s">
        <v>233</v>
      </c>
      <c r="L4" t="s">
        <v>221</v>
      </c>
    </row>
    <row r="5" spans="1:14">
      <c r="L5" s="19" t="s">
        <v>275</v>
      </c>
    </row>
    <row r="8" spans="1:14">
      <c r="A8" s="27" t="s">
        <v>223</v>
      </c>
    </row>
    <row r="10" spans="1:14">
      <c r="A10" t="s">
        <v>213</v>
      </c>
    </row>
    <row r="11" spans="1:14">
      <c r="A11" s="14" t="s">
        <v>207</v>
      </c>
      <c r="B11" s="14" t="s">
        <v>208</v>
      </c>
      <c r="C11" s="14" t="s">
        <v>209</v>
      </c>
      <c r="D11" s="14" t="s">
        <v>122</v>
      </c>
      <c r="E11" s="14" t="s">
        <v>210</v>
      </c>
      <c r="F11" s="14" t="s">
        <v>211</v>
      </c>
      <c r="G11" s="14" t="s">
        <v>84</v>
      </c>
      <c r="H11" s="14" t="s">
        <v>212</v>
      </c>
      <c r="I11" s="14" t="s">
        <v>217</v>
      </c>
      <c r="J11" s="14" t="s">
        <v>218</v>
      </c>
      <c r="K11" s="14" t="s">
        <v>232</v>
      </c>
      <c r="L11" s="14" t="s">
        <v>220</v>
      </c>
    </row>
    <row r="12" spans="1:14">
      <c r="A12">
        <v>4541</v>
      </c>
      <c r="B12">
        <v>221</v>
      </c>
      <c r="C12">
        <v>844</v>
      </c>
      <c r="D12">
        <v>73</v>
      </c>
      <c r="E12" t="s">
        <v>214</v>
      </c>
      <c r="F12" t="s">
        <v>215</v>
      </c>
      <c r="G12" t="s">
        <v>216</v>
      </c>
      <c r="H12" s="29">
        <v>46075</v>
      </c>
      <c r="I12">
        <v>60</v>
      </c>
      <c r="J12">
        <v>50</v>
      </c>
      <c r="K12">
        <f>(J12+I12)/2</f>
        <v>55</v>
      </c>
      <c r="L12">
        <f>0.3*K12+0.7*D12</f>
        <v>67.599999999999994</v>
      </c>
      <c r="N12" t="s">
        <v>234</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247</v>
      </c>
      <c r="D1" t="s">
        <v>262</v>
      </c>
    </row>
    <row r="3" spans="1:5">
      <c r="C3" t="s">
        <v>61</v>
      </c>
      <c r="D3" s="14" t="s">
        <v>248</v>
      </c>
      <c r="E3" s="14" t="s">
        <v>105</v>
      </c>
    </row>
    <row r="4" spans="1:5">
      <c r="C4" s="14" t="s">
        <v>239</v>
      </c>
    </row>
    <row r="5" spans="1:5">
      <c r="C5" t="s">
        <v>71</v>
      </c>
      <c r="D5" t="s">
        <v>249</v>
      </c>
    </row>
    <row r="6" spans="1:5">
      <c r="C6" t="s">
        <v>75</v>
      </c>
      <c r="D6" t="s">
        <v>250</v>
      </c>
    </row>
    <row r="7" spans="1:5">
      <c r="C7" t="s">
        <v>73</v>
      </c>
      <c r="D7" t="s">
        <v>251</v>
      </c>
      <c r="E7" t="s">
        <v>263</v>
      </c>
    </row>
    <row r="8" spans="1:5" ht="28.8">
      <c r="C8" t="s">
        <v>80</v>
      </c>
      <c r="D8" t="s">
        <v>252</v>
      </c>
      <c r="E8" s="5" t="s">
        <v>253</v>
      </c>
    </row>
    <row r="9" spans="1:5">
      <c r="C9" t="s">
        <v>63</v>
      </c>
      <c r="D9" t="s">
        <v>251</v>
      </c>
    </row>
    <row r="10" spans="1:5" ht="43.2">
      <c r="C10" t="s">
        <v>64</v>
      </c>
      <c r="D10" s="5" t="s">
        <v>254</v>
      </c>
      <c r="E10" s="19" t="s">
        <v>255</v>
      </c>
    </row>
    <row r="12" spans="1:5">
      <c r="C12" s="14" t="s">
        <v>240</v>
      </c>
    </row>
    <row r="13" spans="1:5">
      <c r="C13" t="s">
        <v>235</v>
      </c>
      <c r="D13" t="s">
        <v>256</v>
      </c>
      <c r="E13" s="19" t="s">
        <v>257</v>
      </c>
    </row>
    <row r="14" spans="1:5">
      <c r="C14" t="s">
        <v>236</v>
      </c>
      <c r="D14" t="s">
        <v>258</v>
      </c>
      <c r="E14" t="s">
        <v>259</v>
      </c>
    </row>
    <row r="15" spans="1:5">
      <c r="C15" t="s">
        <v>237</v>
      </c>
      <c r="D15" t="s">
        <v>258</v>
      </c>
      <c r="E15" t="s">
        <v>260</v>
      </c>
    </row>
    <row r="16" spans="1:5">
      <c r="C16" t="s">
        <v>238</v>
      </c>
      <c r="D16" t="s">
        <v>261</v>
      </c>
    </row>
    <row r="19" spans="2:2">
      <c r="B19" t="s">
        <v>241</v>
      </c>
    </row>
    <row r="21" spans="2:2">
      <c r="B21" t="s">
        <v>242</v>
      </c>
    </row>
    <row r="24" spans="2:2">
      <c r="B24" t="s">
        <v>243</v>
      </c>
    </row>
    <row r="25" spans="2:2">
      <c r="B25" t="s">
        <v>244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355</v>
      </c>
    </row>
    <row r="2" spans="1:4">
      <c r="A2" s="14" t="s">
        <v>364</v>
      </c>
      <c r="B2" s="14" t="s">
        <v>360</v>
      </c>
    </row>
    <row r="3" spans="1:4">
      <c r="A3" t="s">
        <v>356</v>
      </c>
      <c r="B3" t="s">
        <v>361</v>
      </c>
    </row>
    <row r="4" spans="1:4">
      <c r="A4" t="s">
        <v>358</v>
      </c>
    </row>
    <row r="5" spans="1:4">
      <c r="A5" t="s">
        <v>357</v>
      </c>
      <c r="B5" t="s">
        <v>362</v>
      </c>
    </row>
    <row r="6" spans="1:4">
      <c r="A6" t="s">
        <v>359</v>
      </c>
      <c r="B6" t="s">
        <v>363</v>
      </c>
    </row>
    <row r="8" spans="1:4">
      <c r="A8" s="14" t="s">
        <v>365</v>
      </c>
    </row>
    <row r="9" spans="1:4">
      <c r="A9" t="s">
        <v>80</v>
      </c>
      <c r="B9" t="s">
        <v>364</v>
      </c>
    </row>
    <row r="12" spans="1:4">
      <c r="A12" s="14" t="s">
        <v>366</v>
      </c>
    </row>
    <row r="13" spans="1:4">
      <c r="A13" s="14" t="s">
        <v>367</v>
      </c>
      <c r="B13" s="14" t="s">
        <v>382</v>
      </c>
      <c r="C13" s="14" t="s">
        <v>368</v>
      </c>
      <c r="D13" s="14" t="s">
        <v>369</v>
      </c>
    </row>
    <row r="14" spans="1:4">
      <c r="A14" t="s">
        <v>380</v>
      </c>
    </row>
    <row r="16" spans="1:4">
      <c r="A16" t="s">
        <v>381</v>
      </c>
    </row>
    <row r="17" spans="1:3">
      <c r="A17" t="s">
        <v>370</v>
      </c>
      <c r="C17" s="3"/>
    </row>
    <row r="18" spans="1:3">
      <c r="A18" t="s">
        <v>371</v>
      </c>
    </row>
    <row r="19" spans="1:3">
      <c r="A19" t="s">
        <v>372</v>
      </c>
    </row>
    <row r="20" spans="1:3">
      <c r="A20" t="s">
        <v>373</v>
      </c>
    </row>
    <row r="21" spans="1:3">
      <c r="A21" t="s">
        <v>374</v>
      </c>
    </row>
    <row r="22" spans="1:3">
      <c r="A22" t="s">
        <v>375</v>
      </c>
    </row>
    <row r="23" spans="1:3">
      <c r="A23" t="s">
        <v>376</v>
      </c>
    </row>
    <row r="24" spans="1:3">
      <c r="A24" t="s">
        <v>377</v>
      </c>
    </row>
    <row r="25" spans="1:3">
      <c r="A25" t="s">
        <v>378</v>
      </c>
    </row>
    <row r="26" spans="1:3">
      <c r="A26" t="s">
        <v>379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343</v>
      </c>
    </row>
    <row r="3" spans="1:1">
      <c r="A3" s="14" t="s">
        <v>438</v>
      </c>
    </row>
    <row r="4" spans="1:1">
      <c r="A4" t="s">
        <v>344</v>
      </c>
    </row>
    <row r="5" spans="1:1">
      <c r="A5" t="s">
        <v>346</v>
      </c>
    </row>
    <row r="6" spans="1:1">
      <c r="A6" t="s">
        <v>345</v>
      </c>
    </row>
    <row r="8" spans="1:1">
      <c r="A8" s="14" t="s">
        <v>439</v>
      </c>
    </row>
    <row r="9" spans="1:1">
      <c r="A9" t="s">
        <v>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441</v>
      </c>
    </row>
    <row r="2" spans="1:2">
      <c r="A2" t="s">
        <v>442</v>
      </c>
    </row>
    <row r="3" spans="1:2">
      <c r="A3" t="s">
        <v>443</v>
      </c>
    </row>
    <row r="4" spans="1:2">
      <c r="A4" t="s">
        <v>444</v>
      </c>
    </row>
    <row r="5" spans="1:2">
      <c r="A5" t="s">
        <v>452</v>
      </c>
      <c r="B5" t="s">
        <v>453</v>
      </c>
    </row>
    <row r="8" spans="1:2">
      <c r="A8" s="14" t="s">
        <v>445</v>
      </c>
    </row>
    <row r="9" spans="1:2">
      <c r="A9" t="s">
        <v>446</v>
      </c>
    </row>
    <row r="10" spans="1:2">
      <c r="A10" t="s">
        <v>447</v>
      </c>
    </row>
    <row r="11" spans="1:2">
      <c r="A11" t="s">
        <v>448</v>
      </c>
    </row>
    <row r="12" spans="1:2">
      <c r="A12" t="s">
        <v>449</v>
      </c>
      <c r="B12" t="s">
        <v>450</v>
      </c>
    </row>
    <row r="13" spans="1:2">
      <c r="A13" t="s">
        <v>451</v>
      </c>
    </row>
    <row r="14" spans="1:2">
      <c r="A14" t="s">
        <v>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574</v>
      </c>
      <c r="B1" s="54" t="s">
        <v>603</v>
      </c>
      <c r="C1" s="54" t="s">
        <v>604</v>
      </c>
      <c r="D1" s="54" t="s">
        <v>605</v>
      </c>
    </row>
    <row r="2" spans="1:4" ht="54" thickBot="1">
      <c r="A2" s="54" t="s">
        <v>606</v>
      </c>
      <c r="B2" s="53" t="s">
        <v>607</v>
      </c>
      <c r="C2" s="53" t="s">
        <v>608</v>
      </c>
      <c r="D2" s="53" t="s">
        <v>609</v>
      </c>
    </row>
    <row r="3" spans="1:4" ht="172.8" thickBot="1">
      <c r="A3" s="54" t="s">
        <v>610</v>
      </c>
      <c r="B3" s="53" t="s">
        <v>613</v>
      </c>
      <c r="C3" s="53" t="s">
        <v>612</v>
      </c>
      <c r="D3" s="53" t="s">
        <v>611</v>
      </c>
    </row>
    <row r="4" spans="1:4" ht="40.799999999999997" thickBot="1">
      <c r="A4" s="53" t="s">
        <v>575</v>
      </c>
      <c r="B4" s="53" t="s">
        <v>576</v>
      </c>
      <c r="C4" s="53" t="s">
        <v>577</v>
      </c>
      <c r="D4" s="53" t="s">
        <v>578</v>
      </c>
    </row>
    <row r="5" spans="1:4" ht="40.799999999999997" thickBot="1">
      <c r="A5" s="53" t="s">
        <v>579</v>
      </c>
      <c r="B5" s="53" t="s">
        <v>580</v>
      </c>
      <c r="C5" s="53" t="s">
        <v>581</v>
      </c>
      <c r="D5" s="53" t="s">
        <v>582</v>
      </c>
    </row>
    <row r="6" spans="1:4" ht="27.6" thickBot="1">
      <c r="A6" s="53" t="s">
        <v>583</v>
      </c>
      <c r="B6" s="53" t="s">
        <v>584</v>
      </c>
      <c r="C6" s="53" t="s">
        <v>585</v>
      </c>
      <c r="D6" s="53" t="s">
        <v>586</v>
      </c>
    </row>
    <row r="7" spans="1:4" ht="27.6" thickBot="1">
      <c r="A7" s="53" t="s">
        <v>587</v>
      </c>
      <c r="B7" s="53" t="s">
        <v>588</v>
      </c>
      <c r="C7" s="53" t="s">
        <v>589</v>
      </c>
      <c r="D7" s="53" t="s">
        <v>590</v>
      </c>
    </row>
    <row r="8" spans="1:4" ht="27.6" thickBot="1">
      <c r="A8" s="53" t="s">
        <v>591</v>
      </c>
      <c r="B8" s="53" t="s">
        <v>592</v>
      </c>
      <c r="C8" s="53" t="s">
        <v>593</v>
      </c>
      <c r="D8" s="53" t="s">
        <v>594</v>
      </c>
    </row>
    <row r="9" spans="1:4" ht="27.6" thickBot="1">
      <c r="A9" s="53" t="s">
        <v>595</v>
      </c>
      <c r="B9" s="53" t="s">
        <v>596</v>
      </c>
      <c r="C9" s="53" t="s">
        <v>597</v>
      </c>
      <c r="D9" s="53" t="s">
        <v>598</v>
      </c>
    </row>
    <row r="10" spans="1:4" ht="40.799999999999997" thickBot="1">
      <c r="A10" s="53" t="s">
        <v>599</v>
      </c>
      <c r="B10" s="53" t="s">
        <v>600</v>
      </c>
      <c r="C10" s="53" t="s">
        <v>601</v>
      </c>
      <c r="D10" s="53"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Tasks Guidline</vt:lpstr>
      <vt:lpstr>Current Tasks</vt:lpstr>
      <vt:lpstr>פרטי משתמש</vt:lpstr>
      <vt:lpstr>Internal Traits</vt:lpstr>
      <vt:lpstr>internal traits - Old</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2026-04-21T22:31:08Z</dcterms:modified>
</cp:coreProperties>
</file>