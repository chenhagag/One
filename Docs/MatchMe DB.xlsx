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SPFX\One\Docs\"/>
    </mc:Choice>
  </mc:AlternateContent>
  <xr:revisionPtr revIDLastSave="0" documentId="8_{4E17732C-912D-44AC-A269-4E23B2A30ED5}" xr6:coauthVersionLast="47" xr6:coauthVersionMax="47" xr10:uidLastSave="{00000000-0000-0000-0000-000000000000}"/>
  <bookViews>
    <workbookView xWindow="-108" yWindow="-108" windowWidth="23256" windowHeight="12456" activeTab="1" xr2:uid="{00000000-000D-0000-FFFF-FFFF00000000}"/>
  </bookViews>
  <sheets>
    <sheet name="UX MVP Tasks" sheetId="22" r:id="rId1"/>
    <sheet name="MVP Guidline" sheetId="20" r:id="rId2"/>
    <sheet name="Important details" sheetId="21" r:id="rId3"/>
    <sheet name="Tasks Guidline" sheetId="12" r:id="rId4"/>
    <sheet name="Current Tasks" sheetId="16" r:id="rId5"/>
    <sheet name="Analyzer Tasks" sheetId="17" r:id="rId6"/>
    <sheet name="פירוט מודל מנתח" sheetId="18" r:id="rId7"/>
    <sheet name="external traits analyze" sheetId="19" r:id="rId8"/>
    <sheet name="פרטי משתמש" sheetId="3" r:id="rId9"/>
    <sheet name="Internal Traits" sheetId="1" r:id="rId10"/>
    <sheet name="internal traits - Old" sheetId="14" r:id="rId11"/>
    <sheet name="מאפיינים חיצוניים - כללי" sheetId="5" r:id="rId12"/>
    <sheet name="משתמש - מאפיינים" sheetId="2" r:id="rId13"/>
    <sheet name="בניית ציונים" sheetId="9" r:id="rId14"/>
    <sheet name="אלגוריתם ציון פנימי" sheetId="4" r:id="rId15"/>
    <sheet name="אלגוריתם ציון חיצוני" sheetId="6" r:id="rId16"/>
    <sheet name="אלגוריתם שידוכים" sheetId="7" r:id="rId17"/>
    <sheet name="טופס הזנה" sheetId="8" r:id="rId18"/>
    <sheet name="טבלאות דאטה" sheetId="11" r:id="rId19"/>
    <sheet name="שאלות עבור הAI" sheetId="10" r:id="rId20"/>
    <sheet name="בדיקות" sheetId="13" r:id="rId21"/>
    <sheet name="שאלות לפי מלווה" sheetId="15" r:id="rId22"/>
  </sheets>
  <definedNames>
    <definedName name="_xlnm._FilterDatabase" localSheetId="1" hidden="1">'MVP Guidline'!$A$1:$C$42</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<sst xmlns="http://schemas.openxmlformats.org/spreadsheetml/2006/main" count="1844" uniqueCount="1173">
  <si>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</si>
  <si>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</si>
  <si>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</si>
  <si>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</si>
  <si>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</si>
  <si>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</si>
  <si>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</si>
  <si>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</si>
  <si>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</si>
  <si>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</si>
  <si>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</si>
  <si>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</si>
  <si>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</si>
  <si>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</si>
  <si>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</si>
  <si>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</si>
  <si>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</si>
  <si>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</si>
  <si>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</si>
  <si>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</si>
  <si>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</si>
  <si>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</si>
  <si>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</si>
  <si>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</si>
  <si>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</si>
  <si>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</si>
  <si>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</si>
  <si>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</si>
  <si>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</si>
  <si>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</si>
  <si>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</si>
  <si>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</si>
  <si>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</si>
  <si>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</si>
  <si>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</si>
  <si>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</si>
  <si>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</si>
  <si>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</si>
  <si>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</si>
  <si>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</si>
  <si>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</si>
  <si>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</si>
  <si>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</si>
  <si>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</si>
  <si>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</si>
  <si>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</si>
  <si>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</si>
  <si>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</si>
  <si>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</si>
  <si>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</si>
  <si>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</si>
  <si>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</si>
  <si>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</si>
  <si>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</si>
  <si>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</si>
  <si>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</si>
  <si>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</si>
  <si>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</si>
  <si>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</si>
  <si>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</si>
  <si>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</si>
  <si>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</si>
  <si>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</si>
  <si>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</si>
  <si>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</si>
  <si>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</si>
  <si>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</si>
  <si>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</si>
  <si>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</si>
  <si>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</si>
  <si>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</si>
  <si>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</si>
  <si>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</si>
  <si>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</si>
  <si>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</si>
  <si>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</si>
  <si>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</si>
  <si>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</si>
  <si>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</si>
  <si>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</si>
  <si>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</si>
  <si>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</si>
  <si>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</si>
  <si>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</si>
  <si>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</si>
  <si>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</si>
  <si>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</si>
  <si>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</si>
  <si>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</si>
  <si>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</si>
  <si>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</si>
  <si>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</si>
  <si>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</si>
  <si>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</si>
  <si>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</si>
  <si>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</si>
  <si>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</si>
  <si>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</si>
  <si>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</si>
  <si>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</si>
  <si>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</si>
  <si>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</si>
  <si>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</si>
  <si>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</si>
  <si>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</si>
  <si>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</si>
  <si>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</si>
  <si>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</si>
  <si>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</si>
  <si>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</si>
  <si>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</si>
  <si>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</si>
  <si>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</si>
  <si>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</si>
  <si>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</si>
  <si>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</si>
  <si>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</si>
  <si>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</si>
  <si>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</si>
  <si>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</si>
  <si>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</si>
  <si>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</si>
  <si>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</si>
  <si>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</si>
  <si>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</si>
  <si>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</si>
  <si>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</si>
  <si>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</si>
  <si>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</si>
  <si>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</si>
  <si>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</si>
  <si>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</si>
  <si>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</si>
  <si>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</si>
  <si>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</si>
  <si>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</si>
  <si>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</si>
  <si>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</si>
  <si>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</si>
  <si>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</si>
  <si>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</si>
  <si>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</si>
  <si>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</si>
  <si>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</si>
  <si>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</si>
  <si>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</si>
  <si>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</si>
  <si>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</si>
  <si>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</si>
  <si>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</si>
  <si>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</si>
  <si>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</si>
  <si>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</si>
  <si>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</si>
  <si>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</si>
  <si>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</si>
  <si>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</si>
  <si>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</si>
  <si>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</si>
  <si>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</si>
  <si>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</si>
  <si>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</si>
  <si>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</si>
  <si>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</si>
  <si>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</si>
  <si>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</si>
  <si>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</si>
  <si>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</si>
  <si>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</si>
  <si>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</si>
  <si>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</si>
  <si>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</si>
  <si>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</si>
  <si>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</si>
  <si>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</si>
  <si>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</si>
  <si>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</si>
  <si>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</si>
  <si>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</si>
  <si>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</si>
  <si>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</si>
  <si>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</si>
  <si>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</si>
  <si>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</si>
  <si>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</si>
  <si>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</si>
  <si>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</si>
  <si>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</si>
  <si>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</si>
  <si>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</si>
  <si>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</si>
  <si>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</si>
  <si>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</si>
  <si>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</si>
  <si>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</si>
  <si>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</si>
  <si>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</si>
  <si>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</si>
  <si>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</si>
  <si>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</si>
  <si>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</si>
  <si>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</si>
  <si>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</si>
  <si>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</si>
  <si>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</si>
  <si>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</si>
  <si>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</si>
  <si>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</si>
  <si>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</si>
  <si>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</si>
  <si>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</si>
  <si>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</si>
  <si>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</si>
  <si>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</si>
  <si>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</si>
  <si>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</si>
  <si>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</si>
  <si>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</si>
  <si>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</si>
  <si>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</si>
  <si>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</si>
  <si>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</si>
  <si>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</si>
  <si>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</si>
  <si>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</si>
  <si>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</si>
  <si>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</si>
  <si>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</si>
  <si>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</si>
  <si>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</si>
  <si>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</si>
  <si>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</si>
  <si>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</si>
  <si>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</si>
  <si>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</si>
  <si>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</si>
  <si>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</si>
  <si>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</si>
  <si>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</si>
  <si>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</si>
  <si>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</si>
  <si>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</si>
  <si>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</si>
  <si>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</si>
  <si>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</si>
  <si>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</si>
  <si>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</si>
  <si>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</si>
  <si>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</si>
  <si>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</si>
  <si>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</si>
  <si>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</si>
  <si>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</si>
  <si>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</si>
  <si>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</si>
  <si>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</si>
  <si>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</si>
  <si>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</si>
  <si>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</si>
  <si>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</si>
  <si>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</si>
  <si>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</si>
  <si>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</si>
  <si>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</si>
  <si>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</si>
  <si>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</si>
  <si>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</si>
  <si>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</si>
  <si>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</si>
  <si>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</si>
  <si>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</si>
  <si>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</si>
  <si>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</si>
  <si>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</si>
  <si>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</si>
  <si>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</si>
  <si>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</si>
  <si>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</si>
  <si>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</si>
  <si>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</si>
  <si>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</si>
  <si>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</si>
  <si>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</si>
  <si>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</si>
  <si>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</si>
  <si>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</si>
  <si>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</si>
  <si>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</si>
  <si>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</si>
  <si>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</si>
  <si>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</si>
  <si>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</si>
  <si>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</si>
  <si>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</si>
  <si>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</si>
  <si>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</si>
  <si>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</si>
  <si>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</si>
  <si>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</si>
  <si>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</si>
  <si>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</si>
  <si>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</si>
  <si>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</si>
  <si>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</si>
  <si>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</si>
  <si>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</si>
  <si>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</si>
  <si>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</si>
  <si>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</si>
  <si>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</si>
  <si>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</si>
  <si>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</si>
  <si>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</si>
  <si>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</si>
  <si>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</si>
  <si>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</si>
  <si>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</si>
  <si>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</si>
  <si>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</si>
  <si>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</si>
  <si>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</si>
  <si>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</si>
  <si>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</si>
  <si>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</si>
  <si>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</si>
  <si>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</si>
  <si>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</si>
  <si>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</si>
  <si>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</si>
  <si>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</si>
  <si>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</si>
  <si>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</si>
  <si>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</si>
  <si>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</si>
  <si>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</si>
  <si>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</si>
  <si>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</si>
  <si>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</si>
  <si>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</si>
  <si>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</si>
  <si>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</si>
  <si>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</si>
  <si>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</si>
  <si>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</si>
  <si>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</si>
  <si>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</si>
  <si>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</si>
  <si>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</si>
  <si>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</si>
  <si>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</si>
  <si>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</si>
  <si>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</si>
  <si>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</si>
  <si>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</si>
  <si>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</si>
  <si>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</si>
  <si>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</si>
  <si>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</si>
  <si>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</si>
  <si>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</si>
  <si>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</si>
  <si>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</si>
  <si>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</si>
  <si>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</si>
  <si>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</si>
  <si>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</si>
  <si>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</si>
  <si>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</si>
  <si>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</si>
  <si>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</si>
  <si>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</si>
  <si>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</si>
  <si>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</si>
  <si>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</si>
  <si>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</si>
  <si>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</si>
  <si>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</si>
  <si>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</si>
  <si>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</si>
  <si>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</si>
  <si>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</si>
  <si>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</si>
  <si>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</si>
  <si>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</si>
  <si>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</si>
  <si>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</si>
  <si>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</si>
  <si>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</si>
  <si>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</si>
  <si>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</si>
  <si>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</si>
  <si>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</si>
  <si>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</si>
  <si>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</si>
  <si>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</si>
  <si>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</si>
  <si>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</si>
  <si>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</si>
  <si>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</si>
  <si>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</si>
  <si>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</si>
  <si>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</si>
  <si>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</si>
  <si>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</si>
  <si>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</si>
  <si>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</si>
  <si>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</si>
  <si>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</si>
  <si>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</si>
  <si>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</si>
  <si>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</si>
  <si>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</si>
  <si>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</si>
  <si>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</si>
  <si>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</si>
  <si>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</si>
  <si>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</si>
  <si>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</si>
  <si>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</si>
  <si>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</si>
  <si>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</si>
  <si>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</si>
  <si>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</si>
  <si>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</si>
  <si>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</si>
  <si>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</si>
  <si>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</si>
  <si>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</si>
  <si>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</si>
  <si>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</si>
  <si>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</si>
  <si>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</si>
  <si>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</si>
  <si>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</si>
  <si>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</si>
  <si>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</si>
  <si>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</si>
  <si>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</si>
  <si>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</si>
  <si>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</si>
  <si>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</si>
  <si>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</si>
  <si>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</si>
  <si>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</si>
  <si>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</si>
  <si>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</si>
  <si>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</si>
  <si>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</si>
  <si>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</si>
  <si>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</si>
  <si>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</si>
  <si>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</si>
  <si>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</si>
  <si>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</si>
  <si>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</si>
  <si>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</si>
  <si>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</si>
  <si>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</si>
  <si>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</si>
  <si>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</si>
  <si>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</si>
  <si>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</si>
  <si>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</si>
  <si>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</si>
  <si>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</si>
  <si>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</si>
  <si>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</si>
  <si>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</si>
  <si>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</si>
  <si>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</si>
  <si>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</si>
  <si>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</si>
  <si>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</si>
  <si>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</si>
  <si>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</si>
  <si>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</si>
  <si>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</si>
  <si>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</si>
  <si>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</si>
  <si>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</si>
  <si>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</si>
  <si>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</si>
  <si>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</si>
  <si>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</si>
  <si>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</si>
  <si>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</si>
  <si>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</si>
  <si>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</si>
  <si>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</si>
  <si>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</si>
  <si>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</si>
  <si>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</si>
  <si>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</si>
  <si>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</si>
  <si>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</si>
  <si>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</si>
  <si>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</si>
  <si>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</si>
  <si>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</si>
  <si>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</si>
  <si>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</si>
  <si>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</si>
  <si>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</si>
  <si>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</si>
  <si>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</si>
  <si>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</si>
  <si>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</si>
  <si>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</si>
  <si>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</si>
  <si>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</si>
  <si>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</si>
  <si>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</si>
  <si>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</si>
  <si>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</si>
  <si>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</si>
  <si>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</si>
  <si>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</si>
  <si>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</si>
  <si>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</si>
  <si>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</si>
  <si>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</si>
  <si>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</si>
  <si>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</si>
  <si>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</si>
  <si>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</si>
  <si>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</si>
  <si>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</si>
  <si>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</si>
  <si>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</si>
  <si>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</si>
  <si>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</si>
  <si>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</si>
  <si>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</si>
  <si>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</si>
  <si>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</si>
  <si>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</si>
  <si>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</si>
  <si>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</si>
  <si>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</si>
  <si>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</si>
  <si>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</si>
  <si>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</si>
  <si>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</si>
  <si>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</si>
  <si>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</si>
  <si>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</si>
  <si>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</si>
  <si>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</si>
  <si>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</si>
  <si>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</si>
  <si>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</si>
  <si>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</si>
  <si>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</si>
  <si>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</si>
  <si>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</si>
  <si>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</si>
  <si>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</si>
  <si>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</si>
  <si>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</si>
  <si>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</si>
  <si>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</si>
  <si>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</si>
  <si>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</si>
  <si>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</si>
  <si>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</si>
  <si>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</si>
  <si>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</si>
  <si>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</si>
  <si>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</si>
  <si>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</si>
  <si>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</si>
  <si>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</si>
  <si>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</si>
  <si>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</si>
  <si>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</si>
  <si>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</si>
  <si>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</si>
  <si>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</si>
  <si>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</si>
  <si>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</si>
  <si>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</si>
  <si>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</si>
  <si>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</si>
  <si>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</si>
  <si>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</si>
  <si>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</si>
  <si>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</si>
  <si>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</si>
  <si>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</si>
  <si>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</si>
  <si>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</si>
  <si>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</si>
  <si>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</si>
  <si>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</si>
  <si>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</si>
  <si>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</si>
  <si>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</si>
  <si>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</si>
  <si>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</si>
  <si>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</si>
  <si>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</si>
  <si>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</si>
  <si>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</si>
  <si>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</si>
  <si>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</si>
  <si>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</si>
  <si>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</si>
  <si>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</si>
  <si>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</si>
  <si>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</si>
  <si>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</si>
  <si>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</si>
  <si>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</si>
  <si>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</si>
  <si>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</si>
  <si>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</si>
  <si>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</si>
  <si>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</si>
  <si>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</si>
  <si>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</si>
  <si>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</si>
  <si>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</si>
  <si>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</si>
  <si>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</si>
  <si>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</si>
  <si>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</si>
  <si>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</si>
  <si>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</si>
  <si>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</si>
  <si>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</si>
  <si>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</si>
  <si>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</si>
  <si>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</si>
  <si>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</si>
  <si>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</si>
  <si>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</si>
  <si>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</si>
  <si>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</si>
  <si>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</si>
  <si>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</si>
  <si>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</si>
  <si>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</si>
  <si>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</si>
  <si>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</si>
  <si>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</si>
  <si>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</si>
  <si>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</si>
  <si>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</si>
  <si>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</si>
  <si>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</si>
  <si>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</si>
  <si>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</si>
  <si>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</si>
  <si>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</si>
  <si>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</si>
  <si>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</si>
  <si>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</si>
  <si>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</si>
  <si>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</si>
  <si>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</si>
  <si>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</si>
  <si>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</si>
  <si>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</si>
  <si>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</si>
  <si>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</si>
  <si>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</si>
  <si>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</si>
  <si>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</si>
  <si>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</si>
  <si>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</si>
  <si>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</si>
  <si>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</si>
  <si>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</si>
  <si>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</si>
  <si>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</si>
  <si>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</si>
  <si>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</si>
  <si>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</si>
  <si>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</si>
  <si>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</si>
  <si>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</si>
  <si>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</si>
  <si>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</si>
  <si>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</si>
  <si>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</si>
  <si>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</si>
  <si>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</si>
  <si>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</si>
  <si>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</si>
  <si>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</si>
  <si>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</si>
  <si>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</si>
  <si>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</si>
  <si>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</si>
  <si>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</si>
  <si>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</si>
  <si>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</si>
  <si>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</si>
  <si>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</si>
  <si>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</si>
  <si>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</si>
  <si>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</si>
  <si>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</si>
  <si>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</si>
  <si>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</si>
  <si>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</si>
  <si>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</si>
  <si>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</si>
  <si>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</si>
  <si>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</si>
  <si>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</si>
  <si>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</si>
  <si>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</si>
  <si>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</si>
  <si>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</si>
  <si>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</si>
  <si>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</si>
  <si>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</si>
  <si>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</si>
  <si>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</si>
  <si>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</si>
  <si>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</si>
  <si>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</si>
  <si>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</si>
  <si>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</si>
  <si>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</si>
  <si>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</si>
  <si>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</si>
  <si>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</si>
  <si>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</si>
  <si>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</si>
  <si>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</si>
  <si>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</si>
  <si>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</si>
  <si>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</si>
  <si>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</si>
  <si>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</si>
  <si>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</si>
  <si>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</si>
  <si>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</si>
  <si>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</si>
  <si>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</si>
  <si>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</si>
  <si>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</si>
  <si>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</si>
  <si>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</si>
  <si>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</si>
  <si>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</si>
  <si>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</si>
  <si>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</si>
  <si>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</si>
  <si>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</si>
  <si>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</si>
  <si>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</si>
  <si>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</si>
  <si>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</si>
  <si>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</si>
  <si>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</si>
  <si>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</si>
  <si>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</si>
  <si>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</si>
  <si>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</si>
  <si>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</si>
  <si>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</si>
  <si>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עדינות</t>
  </si>
  <si>
    <t>רכות</t>
  </si>
  <si>
    <t>Communication Tone</t>
  </si>
  <si>
    <t>Group</t>
  </si>
  <si>
    <t>Cognitive Profile</t>
  </si>
  <si>
    <t>Big Five</t>
  </si>
  <si>
    <t>Schwartz values</t>
  </si>
  <si>
    <t xml:space="preserve">ערכים </t>
  </si>
  <si>
    <t>Emotional Profile</t>
  </si>
  <si>
    <t>קבוצות נוספות</t>
  </si>
  <si>
    <t>social_activism</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</si>
  <si>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</si>
  <si>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</si>
  <si>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</si>
  <si>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</si>
  <si>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</si>
  <si>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</si>
  <si>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</si>
  <si>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</si>
  <si>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</si>
  <si>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Theatricality</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</si>
  <si>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</si>
  <si>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</si>
  <si>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</si>
  <si>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</si>
  <si>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</si>
  <si>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</si>
  <si>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</si>
  <si>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</si>
  <si>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</si>
  <si>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</si>
  <si>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</si>
  <si>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</si>
  <si>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</si>
  <si>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</si>
  <si>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</si>
  <si>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</si>
  <si>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</si>
  <si>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</si>
  <si>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</si>
  <si>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</si>
  <si>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</si>
  <si>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</si>
  <si>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</si>
  <si>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</si>
  <si>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</si>
  <si>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</si>
  <si>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</si>
  <si>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</si>
  <si>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</si>
  <si>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</si>
  <si>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</si>
  <si>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</si>
  <si>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</si>
  <si>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</si>
  <si>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</si>
  <si>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</si>
  <si>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</si>
  <si>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</si>
  <si>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</si>
  <si>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</si>
  <si>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</si>
  <si>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</si>
  <si>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</si>
  <si>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</si>
  <si>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</si>
  <si>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</si>
  <si>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</si>
  <si>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</si>
  <si>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</si>
  <si>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</si>
  <si>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</si>
  <si>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</si>
  <si>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</si>
  <si>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</si>
  <si>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</si>
  <si>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</si>
  <si>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</si>
  <si>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</si>
  <si>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</si>
  <si>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</si>
  <si>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</si>
  <si>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</si>
  <si>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</si>
  <si>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</si>
  <si>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</si>
  <si>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</si>
  <si>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</si>
  <si>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</si>
  <si>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</si>
  <si>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</si>
  <si>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</si>
  <si>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</si>
  <si>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</si>
  <si>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</si>
  <si>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</si>
  <si>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</si>
  <si>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</si>
  <si>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</si>
  <si>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</si>
  <si>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</si>
  <si>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</si>
  <si>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</si>
  <si>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</si>
  <si>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</si>
  <si>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</si>
  <si>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</si>
  <si>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</si>
  <si>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</si>
  <si>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</si>
  <si>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</si>
  <si>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</si>
  <si>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</si>
  <si>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</si>
  <si>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</si>
  <si>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</si>
  <si>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</si>
  <si>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</si>
  <si>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</si>
  <si>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</si>
  <si>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</si>
  <si>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</si>
  <si>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</si>
  <si>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</si>
  <si>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</si>
  <si>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</si>
  <si>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</si>
  <si>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</si>
  <si>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</si>
  <si>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</si>
  <si>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</si>
  <si>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</si>
  <si>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</si>
  <si>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</si>
  <si>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</si>
  <si>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לחשוב על זה</t>
  </si>
  <si>
    <t>לחשוב אם להציג בכלל בנפרד ומה נכנס כאן</t>
  </si>
  <si>
    <t>אין.</t>
  </si>
  <si>
    <t>לנרמל ציוני התאמה. כרגע גבוהים ומוגזמים. לבדוק שוב את החישוב שלי.</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</si>
  <si>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</si>
  <si>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</si>
  <si>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</si>
  <si>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</si>
  <si>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</si>
  <si>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</si>
  <si>
    <t>חישוב ציונים כללי</t>
  </si>
  <si>
    <t>ממוצע מרחק אוקלידי. 
לשקול - כנ"ל לסעיף הקודם, תיקון ל10 נקודות לטובת האישה.</t>
  </si>
  <si>
    <t>50% ממוצע מרחק אוקלידי.   
50%- התאמה לפי ציון פרופיל עם התאמה של בהתאם לגבר-אישה. אחרת נשדך גברים שבממוצע יותר רגשיים לנשים שפחות.  תיקון ל4 נקודות לטובת האישה.</t>
  </si>
  <si>
    <t>קטגוריה</t>
  </si>
  <si>
    <t>תיאור</t>
  </si>
  <si>
    <t>Visual Appeal Band</t>
  </si>
  <si>
    <t>רמת אטרקטיביות כללית (פנימי בלבד)</t>
  </si>
  <si>
    <t>1 Very Low / 2 Low / 3 Moderate / 4 High / 5 Very High</t>
  </si>
  <si>
    <t>Body Type</t>
  </si>
  <si>
    <t>מבנה גוף כללי</t>
  </si>
  <si>
    <t>Slim / Fit / Average / Curvy / Heavyset</t>
  </si>
  <si>
    <t>Fit</t>
  </si>
  <si>
    <t>Fitness Signal</t>
  </si>
  <si>
    <t>עד כמה נראה פעיל/חטוב</t>
  </si>
  <si>
    <t>Low / Moderate / High</t>
  </si>
  <si>
    <t>High</t>
  </si>
  <si>
    <t>Grooming Level</t>
  </si>
  <si>
    <t>רמת טיפוח והשקעה</t>
  </si>
  <si>
    <t>Minimal / Moderate / High</t>
  </si>
  <si>
    <t>Style Category</t>
  </si>
  <si>
    <t>סגנון חיצוני</t>
  </si>
  <si>
    <t>Natural / Casual / Polished / Elegant / Glamorous / Alternative</t>
  </si>
  <si>
    <t>Polished</t>
  </si>
  <si>
    <t>Facial Structure</t>
  </si>
  <si>
    <t>מבנה פנים</t>
  </si>
  <si>
    <t>Soft / Balanced / Sharp / Strong-featured / Delicate</t>
  </si>
  <si>
    <t>Sharp</t>
  </si>
  <si>
    <t>Facial Archetype</t>
  </si>
  <si>
    <t>vibe כללי של הפנים</t>
  </si>
  <si>
    <t>Warm / Elegant / Glamorous / Natural / Intellectual / Edgy / Youthful / Mature</t>
  </si>
  <si>
    <t>Warm + Elegant</t>
  </si>
  <si>
    <t>Energy Projection</t>
  </si>
  <si>
    <t>אנרגיה כללית</t>
  </si>
  <si>
    <t>Soft / Feminine / Masculine / Dominant / Playful / Reserved</t>
  </si>
  <si>
    <t>Soft</t>
  </si>
  <si>
    <t>Skin Tone Range</t>
  </si>
  <si>
    <t>טווח גוון חזותי כללי (לא אתני)</t>
  </si>
  <si>
    <t>Fair / Light-Medium / Medium / Olive / Deep</t>
  </si>
  <si>
    <t>Olive</t>
  </si>
  <si>
    <t>Contrast Level</t>
  </si>
  <si>
    <t>ניגודיות כללית (שיער/עור/תווי פנים)</t>
  </si>
  <si>
    <t>Low / Medium / High</t>
  </si>
  <si>
    <t>Overall Presentation</t>
  </si>
  <si>
    <t>רושם כללי</t>
  </si>
  <si>
    <t>Understated / Balanced / Striking</t>
  </si>
  <si>
    <t>Striking</t>
  </si>
  <si>
    <t>Visual Appeal Band – 20%</t>
  </si>
  <si>
    <t>• Body Type/Fitness – 25%</t>
  </si>
  <si>
    <t>• Style/Grooming – 20%</t>
  </si>
  <si>
    <t>• Facial Archetype – 25%</t>
  </si>
  <si>
    <t>• Presentation/Energy – 10%</t>
  </si>
  <si>
    <t>אפשר לשמור גם כסקאלה (לדוגמה)</t>
  </si>
  <si>
    <t>אורית</t>
  </si>
  <si>
    <t>4 או 5</t>
  </si>
  <si>
    <t>Average/curvery</t>
  </si>
  <si>
    <t>Moderate</t>
  </si>
  <si>
    <t>Natural/casutal/soft polished</t>
  </si>
  <si>
    <t>soft/balanced</t>
  </si>
  <si>
    <t>warm/feminin/natural</t>
  </si>
  <si>
    <t>soft/warm/maternal</t>
  </si>
  <si>
    <t>Light Medium/olive</t>
  </si>
  <si>
    <t>Appeal</t>
  </si>
  <si>
    <t>warmth</t>
  </si>
  <si>
    <t>Glamour</t>
  </si>
  <si>
    <t>Naturalness</t>
  </si>
  <si>
    <t>Fitness aesthetic</t>
  </si>
  <si>
    <t>Style polish</t>
  </si>
  <si>
    <t>• Softness</t>
  </si>
  <si>
    <t>• Sharpness</t>
  </si>
  <si>
    <t>• Dominance</t>
  </si>
  <si>
    <t>• Approachability</t>
  </si>
  <si>
    <t>• Trendiness</t>
  </si>
  <si>
    <t>• Elegance</t>
  </si>
  <si>
    <t>• Distinctiveness</t>
  </si>
  <si>
    <t>נוי</t>
  </si>
  <si>
    <t>Femininity/Masculinity</t>
  </si>
  <si>
    <t>אמיר</t>
  </si>
  <si>
    <t>לי</t>
  </si>
  <si>
    <t>מירה</t>
  </si>
  <si>
    <t>ציון מינימום בפועל</t>
  </si>
  <si>
    <t>1–15 = very fair</t>
  </si>
  <si>
    <t>• 16–30 = fair/light</t>
  </si>
  <si>
    <t>• 31–50 = light-medium</t>
  </si>
  <si>
    <t>• 51–70 = medium/olive</t>
  </si>
  <si>
    <t>• 71–85 = deeper olive/tan</t>
  </si>
  <si>
    <t>• 86–100 = deep/dark</t>
  </si>
  <si>
    <t>טווח skine tone</t>
  </si>
  <si>
    <t>הזנת התכונות באופן ידני / על ידי AI בהתאם ל3 התמונות שישלחו (להדגיש למשתמשים שכדאי תמונות ברורות ותמונות גוף מלא, אם זה סבבה לבקש...)</t>
  </si>
  <si>
    <t>בהעלאת תמונה - אישור ניתוח על ידי AI (ביומטרי). אם מסמנים לא - אישור ניתוח ידני. אם מסמנים לא - הבהרה שלא יהיה לנו ניתוח מראה והמשתמשים יוצגו בלי קשר למראה חיצוני (ובמאגר נפרד, צריך לחשוב אם ואיך להסביר את זה. לא ברור אם צריך לגמרי מאגר נפרד או פשוט ציון התאמה חיצוני  = 0 שישפיע על האפשרויות)</t>
  </si>
  <si>
    <t>לומר למשתמשים שהם יכולים לשנות את ההסכמה בכל עת וגם לדון על זה בצ'אט ( הצ'אט צריך להיות מסוגל לספר להם למה צריך כל דבר ומה המשמעויות)</t>
  </si>
  <si>
    <t xml:space="preserve">שילוב של הציונים מהAI + שיעור אישור שמחושב על ידי המערכת.  כרגע מתייחסים רק לציונים מהAI שהם בעצם ידניים כרגע. </t>
  </si>
  <si>
    <t>להוסיף! אבל לחשוב איך להשתמש בזה</t>
  </si>
  <si>
    <t>יכול להשפיע על העממיות אולי, לבדוק אם זה קונסיסטנט</t>
  </si>
  <si>
    <t>נחלק לשתי קטגוריות של תכונות: הראשונה - 6 שהAI מנתח (או ניתוח ידני) עם ציון בכל תכונה (כולל מידת אטרקטיביות כללית, גבריות/נשיות, מבנה גוף וצבע עור, רק במונחים יותר עדינים ופוליטיקלי קורקט).  השניה - תכונות יבשות כמו גובה, צבע שיער עיניים וכו' (חלק מהם גם הAI ינתח). + שיעור אישור.  צריך לחשוב על פרומפט טוב לנושא, וצריך להתכסות מבחינה משפטית, אנושית ושקיפות למשתמש ככל הניתן. 
הAppeal צריך לשמש גם כמסנן ראשוני במקרים קיצוניים כמו שיעור האישור (אולי במקומו). בנוסף עבור משתמשים שביקשו מפורשות גם המבנה גוף צריך להיות מסנן (אבל עם טווח רחב יחסית, או לפחות בהתחשב בודאות)
*כל עוד אני עושה ניתוח ידני אני צריכה סקאלות ברורות כמו שאני  נותנת לAI</t>
  </si>
  <si>
    <t xml:space="preserve">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
לפי המודל - הדמיון הכי קריטי הוא בציר הN/S מעבר לזה - דמיון הוא לא תמיד רצוי. התאמה טובה תהיה שני צירים זהים ו2 שונים, אבל לא בטוח שנרצה את זה במקרה שלנו. צריך לחשוב איך לחשב. </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</si>
  <si>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אחרי הרכבת העמדות - להוציא אותן מהסגנון </t>
  </si>
  <si>
    <t>כרגע מרחק רגיל בין הציונים. צריך - להתאים לטווחים האמיתיים, להוסיף התייחסות לשיעור אישור ולהתאים לבקשות המשתמש הספציפי. 
חישוב המראה צריך להיות שונה אצל גייז, בעיקר במובן של נשיות/גבריות אבל גם לשים לב שזה משפיע על הציון הכללי.  כמו כן - אולי כדאי להתייחס אחרת אצל אנשים שבאמת לא רגישים למראה באופן מפורש.
אולי צריך להתייחס שונה לאישור של הצד האטרקטיבי יותר. לחשוב על זה</t>
  </si>
  <si>
    <t xml:space="preserve">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(לא בטוחה לגבי זה, אולי זה לא ידייק וסתם יתן רעש).
לנרמל את הציון הקוגנטיבי בהנתן שהציונים בפועל נעים בין 20 ל90  (נראה לי שכבר עשיתתי את זה)
המשוחח חייב לשאול את המשתמשים על השכלה וכו' כדי לדייק את הפרופיל הקוגנטיבי. וגם לשאול מה למדו/עשו בעבר. </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</si>
  <si>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יכול להיות שצריך להתייחס למצב שבו הפער בין הפרופיל הקוגנטיבי לאינטואיטיבי הוא גדול. </t>
  </si>
  <si>
    <t>energetic_intensity</t>
  </si>
  <si>
    <t>assertiveness_forcefulness</t>
  </si>
  <si>
    <t>אסרטיביות</t>
  </si>
  <si>
    <t>charismatic_presence</t>
  </si>
  <si>
    <t>נוכחות כריזמתית</t>
  </si>
  <si>
    <t>softness_sharpness_balance</t>
  </si>
  <si>
    <t xml:space="preserve">hesitation </t>
  </si>
  <si>
    <t>מידת הסתייגות</t>
  </si>
  <si>
    <t xml:space="preserve">אולי כדאי לשקול שינוי במשקלים של התכונות. נגיד אנרגיה ורמה קוגנטיבית כבסיס ואז את השאר...  בטוח צריך לתת משקלים גבוהים יותר בהתאם לרמת הציונים בחלק מהתכונות כמו נהנתנות, סגנונות וערכים מסוימים </t>
  </si>
  <si>
    <t xml:space="preserve">בכל חישובי הציונים - גם ברמת התכונה וגם ברמת הפרופיל צריך להתאים לטווחים בפועל. </t>
  </si>
  <si>
    <t>כרגע חישוב הציונים נעשה לפי מרחק אוקלידי בין כל התכונות. שיניתי כך שיתאים לפערים הנוכחיים: עד 5 - התאמה טובה, 15 - התאמה לא טובה.  צריך לדייק את זה פר תכונה וגם להתחשב עבור כל תכונה בטווח האמיתי (שהAI נותן בפועל, כמו שעשינו בקוגנטיבי). 
הציון הסופי מורכב מסך הציונים, כאשר לתכונות עם ודאות נמוכה יותר - יש פחות משקל בציון הסופי.
בתוך כל פרופיל - מחושב באותו אופן עם דקויות של הפרופיל שמתוארות למעלה.
לעבור לחישוב לפי פרופילים + אולי גם אחוז  מסוים לחישוב הכללי. כרגע ציון הפרופילים הוא ממוצע ציוני הפרופיל כאשר הפרופיל הקוגנטיבי מקבל משקל כפול. סחיות, עממיות ומידע כללי לא נכנסים.
לגבי המראה כרגע הוא נכנס לחישוב הכללי כ30 אחוז או 35 למשתמשים רגישים (ציון 70 ומעלה בודאות 0.7 ומעלה), ולחישוב הפרופילים נכנס כפרופיל נוסף עם משקל כפול.  לחשוב על זה, כי מצד אחד אני רוצה שברושם הראשוני אני אציג משתמשים שקשורים מבחינת מראה, מצד שני - אני רוצה לתת משקל מהותי יותר לאישיות, והמראה הוא רק מסנן. בסופו של דבר - בחירת המשתמש תחליף (או תשנה משמעותית) את הציון לפי מראה, ואז להחליט איזה משקל לתת לזה.   לקחת בחשבון גם שהתמונות יכולות להטעות, בעיקר את הAI, כמו במקרה אורית/הילה</t>
  </si>
  <si>
    <t xml:space="preserve">בחישוב לפי פרופילים שיחקתי קצת עם המשקלים, בגדול כדי להתאים יותר לנוי ורון אז צריך לראות שזה באמת אמין. </t>
  </si>
  <si>
    <t>פרומפט נפרד לכל התכונות הקשורות.   לשפר בהתאם לצורך.
פרופיל סופר קריטי. להוציא מפה כל מה שקשור לעמדות. להכניס סגנונות אפשריים - צריך לבנות את זה חכם. אולי בתגיות חופשיות (או לא חופשיות). לחשוב על זה. לצורך הבדיקה של זה אצטרך משתמשים מסגנונות שונים באמת, כרגע האוכלוסייה במערכת שלי די הומוגנית.  צריך אולי גם להיות גורם מפלטר לסגנונות לא קשורים.
סגנונות אפשריים (לחשוב איך לעשות את זה פוליטיקלי קורקט): ערסים, נורמטיבי, עממי, סחי, קיבוצניק/מושבניק, היפי, סובייטי, גיק, תרבות גבוהה, אליטיסטי, קפליניסט. לחשוב מה עוד ואיך לנסח.</t>
  </si>
  <si>
    <t>אימון על זוגות אמיתיים</t>
  </si>
  <si>
    <t>ייעוץ משפטי וconsents על השירות</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</si>
  <si>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לא בטוחה שנוירוטיות קשור כאן. </t>
    </r>
  </si>
  <si>
    <r>
      <t xml:space="preserve">פרומפט נפרד לכל התכונות הקשורות.   לשפר בהתאם לצורך.
להוסיף אולי מידת הסתייגות.. ובכללי לקרוא על הנושא כדי לפתח את זה נכון יותר.   </t>
    </r>
    <r>
      <rPr>
        <b/>
        <sz val="11"/>
        <color theme="1"/>
        <rFont val="Calibri"/>
        <family val="2"/>
        <scheme val="minor"/>
      </rPr>
      <t>לעדכן למה שעשיתי</t>
    </r>
  </si>
  <si>
    <t>כניסה עם אוטנטיקציה</t>
  </si>
  <si>
    <t>צעדים לMVP</t>
  </si>
  <si>
    <t>לאפשר לעצמי לשנות נתוני משתמשים - גם תכונות וגם ציוני התאמה</t>
  </si>
  <si>
    <t>להכניס קונסנט וייעוץ בסיסי עם הילה</t>
  </si>
  <si>
    <t>לאפשר לעצמי לאשר התאמות (ברמת הפוטנציאל הראשוני)</t>
  </si>
  <si>
    <t>לסיים את חווית ההתאמה - שליחת של נוטיפיקציה, אפשרות לדירוג, כרטיס התאמה.</t>
  </si>
  <si>
    <t>לסדר את הצ'אט כך שידע לדבר על ההתאמה ועל מה שקורה אחרי</t>
  </si>
  <si>
    <t>בקאפס והפרדת טסט פרוד</t>
  </si>
  <si>
    <t>אוטומציה של הוספה כאפליקציה</t>
  </si>
  <si>
    <t>לעשות UI מוצלח</t>
  </si>
  <si>
    <t>אבטחת מידע - סגירת פינות</t>
  </si>
  <si>
    <t>אפשרות לשיחה אחרי קבלת כרטיס ההתאמה</t>
  </si>
  <si>
    <t>דרך ווטסאפ/הודעות/גם וגם</t>
  </si>
  <si>
    <t>לחשוב על עניין העלויות - אולי לחסום צ'אט בשלב מסוים</t>
  </si>
  <si>
    <t>האם להישאר עם GPT4o?</t>
  </si>
  <si>
    <t xml:space="preserve">בדיקות </t>
  </si>
  <si>
    <t>צעדי הפצה</t>
  </si>
  <si>
    <t>להתחיל פשוט - 10 משתמשים שאני מכירה שיכולים להגיד לי אם הכול תקין</t>
  </si>
  <si>
    <t xml:space="preserve">ואז - להפיץ אצל חברים וכו'.  </t>
  </si>
  <si>
    <t>אחרי ותוך כדי הMVP</t>
  </si>
  <si>
    <t xml:space="preserve">לשפר את חווית הצ'אט קודם כל </t>
  </si>
  <si>
    <t>לשפר את הניתוח והאלגוריתם שיהיה אוטומטי</t>
  </si>
  <si>
    <t>העלאת תמונות מסודרת כולל קונסנט על ניתוח התמונה</t>
  </si>
  <si>
    <t>במסך הcandidate matches אני אוכל לשחק עם ציוני ההתאמות. וגם כפתור שבלחיצה יוצר כרטיס התאמה ומחזיר ציון התאמה מהAI שמשתלב בציון הכולל. במסך של הmatched - יהיה לי כפתור שליחה ש: 1. יציג את ההתאמה עם כרטיס ההתאמה במסך של שני המשתמשים. 2. ישלח להם ווטסאפ שאומר שיש להם התאמה.  3. בכרטיס ההתאמה יהיה כפתור "החל בשיחה" שיאפשר שליחת הודעה.  אולי עם אופציה של עבור לשיחה בווטסאפ. (צריך לוודא שיש אישור לזה. אולי אם המשתמש יבקש שיחה בווטסאפ זה בעצם ישלח מהמערכת הודעה לצד השני אם הוא רוצה להתחיל בשיחה ומשם השיחה האמיתית תתחיל)</t>
  </si>
  <si>
    <t>הגבלת קצב בקשות (Rate Limiting)</t>
  </si>
  <si>
    <t xml:space="preserve">מסך אדמין - שיהיה פתוח רק למשתמשים שמוגדרים כאדמין. </t>
  </si>
  <si>
    <t>חסימת "זליגת מידע" דרך ה-ID (הגנת ID enumeration).  לבדוק מה עוד צריך ואפשרי כבר עכשיו</t>
  </si>
  <si>
    <t>תוך כדי הכול</t>
  </si>
  <si>
    <t>לשלוח לזוגות בסיסיים - עדן וגל, הינדי ואלי, אלכס, דני. אולי גם ללחוץ קצת על הבנות דודות. ולשלוח לזוגות אחרים לצורך הבדיקות</t>
  </si>
  <si>
    <t>מה למדת עליי ויש לי שאלה נפתחים בצ'אט הקוגנטיבי (או אולי האחרון שהיינו בו)  - זה אמור להיפתח בצ'אט הכללי או בצ'אט נפרד לגמרי</t>
  </si>
  <si>
    <t>לעשות יוזר אוטנטיקיישן - אפל וגוגל (או רק גוגל)</t>
  </si>
  <si>
    <t>לעדכן גם את הregister הרגיל לmagic link</t>
  </si>
  <si>
    <t>להבין מה בדיוק עשינו פה</t>
  </si>
  <si>
    <t xml:space="preserve">או רק לי. אולי לעשות מסך מסודר להרשאות. ושיעבוד שונה בלוקל ובפרוד. אפשר אולי שבכלל לא יעבוד בפרוד.  בלוקאל זה יכול להישאר עם הלינק בלבד.   </t>
  </si>
  <si>
    <t>שרת של railway - כרגע תכנית עסקית בסיסית?</t>
  </si>
  <si>
    <t>חשבון Supabase עבור אימות גם דרך מג'יק לינק וגם דרך גוגל</t>
  </si>
  <si>
    <t>מחובר דרך גיט</t>
  </si>
  <si>
    <t>מחובר דרך גיט לדעתי. מנהל את היוזרים איכשהו</t>
  </si>
  <si>
    <t>עבור המג'יק לינק</t>
  </si>
  <si>
    <t>קניתי דומין joinone.io בnamecheap</t>
  </si>
  <si>
    <t xml:space="preserve">סיסמה לשרת של Supabase - גמדים מלא  </t>
  </si>
  <si>
    <t>סיסמה קדדים מלא</t>
  </si>
  <si>
    <t>k9ihxhyj.up.railway.app</t>
  </si>
  <si>
    <t>CNAME</t>
  </si>
  <si>
    <t>railwrailway-verify=7eb9fbb8f4c237f82f21d60f4ead92598f90984576b0950a0f33b2cce299381fay-verify=7eb9fbb8f4c237f82f21d60f4ead92598f90984576b0950a0f33b2cce299381f</t>
  </si>
  <si>
    <t>TXT</t>
  </si>
  <si>
    <t>סיסמה לאפליקציה דרך גוגל כדי לספק דרכו SMTP  - בסוף שיניתי לresend</t>
  </si>
  <si>
    <t>חשבון resend כדי לשלוח דרכו SMTP שמחובר לדומיין שלי</t>
  </si>
  <si>
    <t>re_6BkYFomy_Q8PzyKrhSoqaPCzpxnxE8MYn</t>
  </si>
  <si>
    <t>API KEY - resend</t>
  </si>
  <si>
    <t>יש לי פרויקט One-MVP בgoogle console - עבור הGoogle Oauth</t>
  </si>
  <si>
    <t xml:space="preserve">אני צריכה גם לנהל מה אני משלמת </t>
  </si>
  <si>
    <t xml:space="preserve">יש לי תשלום שנתי לדומיין, יש לי תשלום לריילווי, מה עוד? </t>
  </si>
  <si>
    <t>אולי יהיה גם לאפל ולגוגל סטור</t>
  </si>
  <si>
    <t>דומיין</t>
  </si>
  <si>
    <t>יש לי 25 דולר של סופאבייס פרו (עבור הפרו) ועוד 10$ עבור הcustom domain של הauth</t>
  </si>
  <si>
    <t>קניתי בתשלום חד פעמי של 25$ גישה לגוגל פליי</t>
  </si>
  <si>
    <t xml:space="preserve">יש לי דומיין בשם joinone.io.  הגדרתי אותו בrailway ובsupabase. </t>
  </si>
  <si>
    <t>דרך הריילווי עם בראנץ' נפרד בגיט</t>
  </si>
  <si>
    <t>לא בטוח שצריך כרגע, נראה שעובד די טוב.</t>
  </si>
  <si>
    <t xml:space="preserve">ואז / תוך כדי - לחפש מישהי שתשווק + לפנות לאופיר/ליעד להציג את זה </t>
  </si>
  <si>
    <t>לעבור לפיתוח מובייל להפצת אפליקציה אמיתית</t>
  </si>
  <si>
    <t xml:space="preserve">מה לגבי גיבויים?  </t>
  </si>
  <si>
    <t>אני יכולה עקרונית לעשות דרך הrailway, אבל להבין איך זה עובד. וגם אולי איכשהו לשמור ידנית.</t>
  </si>
  <si>
    <t>אולי גם להכניס JSON שלם ואז אוכל לתת לGPT לעשות את הניתוח</t>
  </si>
  <si>
    <t>לוודא גם שהניתוח מתבצע באמת רק פעם אחת ואחר כך זה בשליטתי בלבד. לוודא שמשתמשים נכנסים למאגר רק אחרי שאני מריצה בעצמי ניתוח ידני. לוודא גם שאין מצב שהניתוח ירוץ בלופ או משהו כזה</t>
  </si>
  <si>
    <t>פירוט</t>
  </si>
  <si>
    <t>אולי כדאי לשקול מעבר לג'מיני/גרוק כדי לא להסתבך עם החסימות.
לנסות את המעבר בבראנץ' נפרד. לשקול אם לפני/אחרי/בזמן MVP</t>
  </si>
  <si>
    <t>אפשר גם אחרי MVP</t>
  </si>
  <si>
    <t>בסוף</t>
  </si>
  <si>
    <t>צריך לסדר את מסך הגדרות, פרופיל ושאר המסכים הלא סגורים</t>
  </si>
  <si>
    <t>צריך לוודא באיזה שלב משתמשים נכנסים למאגר ושזה יעבוד כמו שצריך</t>
  </si>
  <si>
    <t>בהמשך נצטרך להוסיף תנאי שימוש ופרטיות אמיתיים.</t>
  </si>
  <si>
    <t>אולי פשוט לעשות כפתור אישור כניסה למאגר - ואז אכניס רק בתום השיחות והניתוח</t>
  </si>
  <si>
    <t>מערכת בסיסית</t>
  </si>
  <si>
    <t>התאמות</t>
  </si>
  <si>
    <t>שליטה</t>
  </si>
  <si>
    <t>לחשוב מה אני עושה עם זה שלא יחרוג מדי כל עוד אני לא גובה תשלום.
נגיד אם משתמש דיבר יותר מדי ועבר את כל השלבים וממשיך לדבר - להציג לי התראה לגביו של כדאי לחסום ואז אם אני לוחצת על חסימת צ'אט - הצ'אט נסגר לשיחה עם הודעה מסוימת במסך</t>
  </si>
  <si>
    <t xml:space="preserve">דולב שאל את המערכת מה הmbtI שלו והוא ענה לו שיעשה מבחן במקום לענות... זה דאטה שאמור להיות לו. </t>
  </si>
  <si>
    <t>להוסיף תיבה שאומרת שזה MVP ואם משהו לא עבד / לא ענה על חוויית המשתמש שהם ציפו לה שיכתבו לנו. לשנות גם את מסך הבאגים בהתאם</t>
  </si>
  <si>
    <t>UX</t>
  </si>
  <si>
    <t xml:space="preserve">להוסיף גיל כבר למסך הרשמה הראשי.  </t>
  </si>
  <si>
    <t>בנוסף - במיקום שבמאפיינים - לשנות את "קצת רחוק יותר" למשהו יותר ברור ולעשות אותו דיפולט אולי.  אולי גם מיקום להוסיף למסך הראשי</t>
  </si>
  <si>
    <t>להוסיף לאדמין אם המשתמש עבד מהאייפון/גלקסי/דפדפן</t>
  </si>
  <si>
    <t>אם אפשר לדעת גם אם הוריד אפליקציה או לא</t>
  </si>
  <si>
    <t xml:space="preserve">מסך הגדרות - כלום לא נשמר. לבדוק גם את מחיקת החשבון. </t>
  </si>
  <si>
    <t xml:space="preserve">לוודא שכל המערכת היא self explainable </t>
  </si>
  <si>
    <t>ליד התמונות לכתוב למה זה משמש, גם ליד הפרטים, גם לכל שיחה אולי וכו'. להסביר למשתמש מה קורה בכל שלב - מה עומד לקרות, מה המערכת עושה ומה מצופה ממנו וכו'. לשפר גם משמעותית את היכולת של הצ'אט לענות על שאלות גם לגבי המערכת וגם לגבי המשתמש</t>
  </si>
  <si>
    <t xml:space="preserve">צריך לתקן קצת את הנוסח של הקונסנט נראה לי.  </t>
  </si>
  <si>
    <t>לערוך את תנאי השימוש והפרטיות וגם להוסיף אותם לconsent</t>
  </si>
  <si>
    <t>פתיחת אפליקציה בגוגל פליי</t>
  </si>
  <si>
    <t>הזהות שלי אומתה, צריך לפתוח בפועל את האפליקציה כשיגיע השלב</t>
  </si>
  <si>
    <t>לא לmvp</t>
  </si>
  <si>
    <t>בוצע. עובד רק בגלקסי (באייפון מציג חץ שמצביע על איך עושים את זה).  אצל שני עדיין יש אזהרה וחסימה</t>
  </si>
  <si>
    <t>עובד!</t>
  </si>
  <si>
    <r>
      <rPr>
        <b/>
        <sz val="11"/>
        <color theme="1"/>
        <rFont val="Calibri"/>
        <family val="2"/>
        <scheme val="minor"/>
      </rPr>
      <t>גוגל:</t>
    </r>
    <r>
      <rPr>
        <sz val="11"/>
        <color theme="1"/>
        <rFont val="Calibri"/>
        <family val="2"/>
        <scheme val="minor"/>
      </rPr>
      <t xml:space="preserve">
דפדפן - תקין 
אייפון -  תקין
גלקסי - תקין
</t>
    </r>
    <r>
      <rPr>
        <b/>
        <sz val="11"/>
        <color theme="1"/>
        <rFont val="Calibri"/>
        <family val="2"/>
        <scheme val="minor"/>
      </rPr>
      <t xml:space="preserve">אפל
</t>
    </r>
    <r>
      <rPr>
        <sz val="11"/>
        <color theme="1"/>
        <rFont val="Calibri"/>
        <family val="2"/>
        <scheme val="minor"/>
      </rPr>
      <t>לוותר בשלב הזה</t>
    </r>
  </si>
  <si>
    <t>הרשמה כאפליקציה רשמית של גוגל והופעה בgoogle store</t>
  </si>
  <si>
    <t xml:space="preserve">התהליך שהתחלתי עם קלוד, אפשר להמשיך איתו, ואז אצטרך לחכות שבועיים עד שזה יופיע בחנות - בינתיים אפשר להתחיל לפרסם. </t>
  </si>
  <si>
    <t>נשאר-   העיצוב לא תואם דפדפן מלבד המסך הראשי והשיחה. בweb app באייפון המסך קופץ למעלה כשמקלידים</t>
  </si>
  <si>
    <t>לביצוע לקראת התאמות</t>
  </si>
  <si>
    <t>לעשות איזשהיא חוויית משתמש לאחרי שהם מסיימים את השאלון עד שיש התאמה</t>
  </si>
  <si>
    <t>הוא אמור לדעת לענות גם על ערכים וביג פייב ודפוסי התקשרות.  לוודא שהוא יודע לענות על כל החלקים - מה אתה יודע עליי, איך אתה מוצא לי התאמה וכו'</t>
  </si>
  <si>
    <t>להכניס גם בכל התובנות על עצמי יותר פירוט ואיך זה קשור לזוגיות וכו'</t>
  </si>
  <si>
    <t xml:space="preserve">הרשמה וכל מה שקשור באפל </t>
  </si>
  <si>
    <t>תכנון</t>
  </si>
  <si>
    <t>קודם כל - כל החלק של תובנות - להוסיף לכל חלק מה זה אומר עליי בזוגיות ופירוט יותר ברור של מה זה כל דבר. כלומר ממש מסך של MBTI - משמעות כללית ומה זה אומר לגביי וכו'. כנ"ל ערכים ביג פייב וכו'.</t>
  </si>
  <si>
    <t xml:space="preserve">להוסיף לתובנות גם אניגרם, וסגנון התקשרות  - זה אומר להוסיף גם ניתוח של זה.  לבדוק איפה כדאי. </t>
  </si>
  <si>
    <t xml:space="preserve">טפטוף תובנות -  התובנות לא יוצגו מיד.  לכתוב במסך התובנות שהתובנות מצטברות, ואתם מוזמנים לבדוק מה גילינו מדי פעם. </t>
  </si>
  <si>
    <t xml:space="preserve">בכל מסך שאומר מי אתה, אם אתה לא מסכים - אתה מוזמן להגיד -  בועת "אני לא חושב שזה מתאר אותי נכון" ואז מעבר לצ'אט של "מה למדת עליי" ושם אפשרות לתקן. </t>
  </si>
  <si>
    <t xml:space="preserve">הצ'אט של מה למדת עליי ובכלל אמור להכיר את כל הידע הזה ולתת אותו למשתמש. בין אם הוא נכנס ל"מה למדת עליי" הוא סתם שואל, כמו שדולב שאל - מה הmbti שלי. הוא צריך לענות. </t>
  </si>
  <si>
    <t>לבדוק עם קלוד גם אם אני צריכה להכניס לו מידע מבחוץ על הנושאים האלה.</t>
  </si>
  <si>
    <t xml:space="preserve">המשך טפטוף תובנות - המערכת בכל כניסה למערכת תציג משהו אחר "טיפוס האניגרם שלך הוא: ... בוא ללמוד מה זה אומר על הזוגיות שלך" / "סגנון ההיקשרות שלך כפי שנותח על ידי המערכת הוא... בוא נלמד קצת מזה אומר" </t>
  </si>
  <si>
    <t xml:space="preserve">דשבורד התקדמות כמו שג'מיני הציע - כמה פרופילים נותחו וכו' - לא חייב להיות אמין. אם אין כלום - להציג משהו בכל זאת.. ולקדם עם הזמן. </t>
  </si>
  <si>
    <t>נתחיל מנטי, ספיר, נדב, מיכל. לחשוב מי עוד. שיגידו לי איך החוויה  ואז יתחילו להפיץ יחד עם הגר , עתל, רון וכו' ונראה מה קורה.</t>
  </si>
  <si>
    <t>לחשוב גם על באיזה טריגר אני שולחת להם נוטיפיקיישנס - תובנות חדשות, אופציות להתאמה, שאלות חידוד, שאלות כלליות (למשל - את מעשנת? איך את עם בעלי חיים?) / פתיחת שיחה על הדברים שחסרים לי</t>
  </si>
  <si>
    <t xml:space="preserve">אני צריכה גם ליצור בעצם שלב 2 של הצ'אט - לחידודים ודברים שחסרים או ספציפית שלב שאלות חידוד וכל פעם לשאול שאלה אחרת. </t>
  </si>
  <si>
    <t>אחרי שיש התאמה צריך גם להבהיר מה קורה עכשיו, מה המצב עכשיו ומה קורה אם זה לא עובד. גם אחרי שכבר יש התאמה - צריך מדי פעם לדגום אותם. אבל זה אחרי זה..</t>
  </si>
  <si>
    <t>**</t>
  </si>
  <si>
    <t>לוודא שכל הבועות עובדות כמו שצריך</t>
  </si>
  <si>
    <t>להוסיף גם אישור שליחת מיילים לנוטיפיקציה. אולי גם SMS ים  (אולי במסך ההרשמה במקום בקונסנט)</t>
  </si>
  <si>
    <t xml:space="preserve">החלק של תובנות על עצמי לא משהו. צריך לחשוב איך לשדרג  את זה. </t>
  </si>
  <si>
    <t>לשיפור</t>
  </si>
  <si>
    <t>נשאר:</t>
  </si>
  <si>
    <t>להכניס אניגרם, דפוסי הקשרות וגבריות/נשיות</t>
  </si>
  <si>
    <t>לשפר את הצ'אט של מה למדת עליי עכשיו והתובנות</t>
  </si>
  <si>
    <t>להכניס טריגרים לשליחת עדכונים</t>
  </si>
  <si>
    <t>שאלות חידוד ו/או שלב 2 של פרטים חסרים</t>
  </si>
  <si>
    <t>כל הux של אחרי התאמה - אולי לאחר כך.</t>
  </si>
  <si>
    <t>אחת: סיום ניתוח - נכניס ניתוח כללי בנוסף לתובנות שאריץ בעצמי. ואז אשלח נוטיפיקציה לניתוח הזה (ידנית).  יש ניתוח בוא תראה מה דעתך ואם תרצה לדייק אותנו.</t>
  </si>
  <si>
    <t xml:space="preserve">שלוש:  אישור מראה להתאמה פוטנציאלית - רק אמיתית. </t>
  </si>
  <si>
    <t xml:space="preserve">ארבע: התאמה אמיתית. </t>
  </si>
  <si>
    <r>
      <t xml:space="preserve">נוטיפיקציות - </t>
    </r>
    <r>
      <rPr>
        <sz val="11"/>
        <color theme="1"/>
        <rFont val="Calibri"/>
        <family val="2"/>
        <scheme val="minor"/>
      </rPr>
      <t>כולן כרגע יהיו ידניות וצריך ניהול מסודר שאדע מה שלחתי למי ומתי.</t>
    </r>
  </si>
  <si>
    <t>אולי צריך ממש לתת לו שאלות חידוד לכל תובנה + את הניתוח שאריץ בעצמי לכל משתמש (אבל אז מתי אכניס אותו? צריך משהו שיתמוך עד אז).  צריך גם שיסיים את השיחה ולא יתפזר יותר מדי</t>
  </si>
  <si>
    <t>שני הציעה לעשות סרטון כניסה עם הסברים</t>
  </si>
  <si>
    <t>שתיים: יש לנו התאמה פוטנציאלית אבל צריכים לאסוף קצת מידע כדי לחדד אותה .. הזמנה לצ'אט שאגדיר לו מראש איזה מידע אנחנו עוד צריכים על המשתמש הזה ומה השאלות. גם כן ידני.</t>
  </si>
  <si>
    <r>
      <t xml:space="preserve">לחשוב איך מכניסים לסוגי התאמה ולחשוב איך להשתמש בטקסט הכללי (דיל ברייקרס ויתרונות אפשריים).
</t>
    </r>
    <r>
      <rPr>
        <b/>
        <sz val="11"/>
        <color theme="1"/>
        <rFont val="Calibri"/>
        <family val="2"/>
        <scheme val="minor"/>
      </rPr>
      <t xml:space="preserve"> צריך להפוך את זה במקום מאפיינים כלליים - לטעם אישי שמורכב מהטעם הרצונות והבקשות של המשתמש שלא קשורות בהכרח לדמיון.</t>
    </r>
  </si>
  <si>
    <t>לוודא שהעלאת התמונות עובדת</t>
  </si>
  <si>
    <t>להוסיף בצ'אט של טעם אישי: האם יש דברים שהם דיל ברייקרס מבחינתך או משפיעים משמעותית על המשיכה או החיבור? למשל - מישהו שמעשן / לא אוהב בעלי חיים / צמחונות וכדומה.. ?  
ואז שאלה יותר רגישה של גרוש/ילדים?</t>
  </si>
  <si>
    <t>ואז לחזור לguidlines הכללי</t>
  </si>
  <si>
    <t>לפני שאני מעבירה לנדב נטי וכאלה שהיו כבר - לבדוק שהוא יודע להמשיך את הצ'אט שלהם כמו שצריך</t>
  </si>
  <si>
    <t>הוספת תכונות ותובנות - אניגרם, סגנון הקשרות וגבריות/נשיות</t>
  </si>
  <si>
    <t>שלב 2 של הצ'אט - פרטים חסרים ופתיחת שיחה חדשה עבור חידוד התאמה</t>
  </si>
  <si>
    <t>טריגרים לשליחת עדכונים</t>
  </si>
  <si>
    <t>שיפור הצ'אט של מה למדת עליי ותובנות</t>
  </si>
  <si>
    <t>בדיקות של כל השינויים האחרונים</t>
  </si>
  <si>
    <t>וגם את ההתאמה הסופית כולל שליחת כרטיס וכו'</t>
  </si>
  <si>
    <t>אניגראם - הוא לא מנתח טוב וגם לא מגדיר אותם נכון. לשלוח לו אולי איזה הסבר על טיפוסים.  
סגנון הקשרות - צריך להרכיב פרופיל של זה שמורכב מסגנון בטוח-נמנע, בטוח-חרדתי, וכו'
MBTI - הוא גם לא מנתח כל כך טוב. צריך לראות מה עושים עם המוחצנות מופנמות ומה לגבי הj הזה</t>
  </si>
  <si>
    <t>שלב 1: להכניס תיאור של המשתמש ידני שהAI יוכל להשתמש בו וגם יופיע בתובנות. עד אז אפשר להשתמש בסיכום המשתמש הקיים. 
שלב 2: להכניס שאלות חידוד לכל אחד מהתובנות.
שלב 3: להביא לסגירת השיחה - אם סתם מדובר במה למדת עליי כללי- לענות, לשאול אולי שאלה שתיים מנחות ואז לסגור.  אם מדובר בחידוד תובנות - לשאול קודם כל מה הוא חושב שלא מדויק ומה דעתו על זה, להציע לעשות שאלות חידוד, לשאול אותן ואז לכתוב שננתח מחדש ולסגור את השיחה.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</si>
</sst>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
      <sz val="14"/>
      <color rgb="FFFFFFFF"/>
      <name val="Segoe UI"/>
      <family val="2"/>
    </font>
    <font>
      <sz val="14"/>
      <name val="Segoe UI"/>
      <family val="2"/>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8">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xf numFmtId="0" fontId="0" fillId="0" borderId="0" xfId="0" applyAlignment="1">
      <alignment horizontal="right" wrapText="1" readingOrder="2"/>
    </xf>
    <xf numFmtId="0" fontId="6" fillId="0" borderId="0" xfId="0" applyFont="1" applyAlignment="1">
      <alignment horizontal="center" vertical="center" wrapText="1"/>
    </xf>
    <xf numFmtId="0" fontId="0" fillId="0" borderId="0" xfId="0" applyAlignment="1">
      <alignment vertical="center" wrapText="1"/>
    </xf>
    <xf numFmtId="0" fontId="6" fillId="0" borderId="0" xfId="0" applyFont="1" applyAlignment="1">
      <alignment vertical="center"/>
    </xf>
    <xf numFmtId="16" fontId="0" fillId="0" borderId="0" xfId="0" applyNumberFormat="1" applyAlignment="1">
      <alignment readingOrder="2"/>
    </xf>
    <xf numFmtId="0" fontId="23" fillId="0" borderId="0" xfId="0" applyFont="1"/>
    <xf numFmtId="0" fontId="2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526CF-D74A-497E-9908-C8339725635D}">
  <dimension ref="A1:G30"/>
  <sheetViews>
    <sheetView rightToLeft="1" workbookViewId="0">
      <selection activeCell="C15" sqref="C15"/>
    </sheetView>
  </sheetViews>
  <sheetFormatPr defaultRowHeight="14.4"/>
  <cols>
    <col min="1" max="1" width="91.44140625" customWidth="1"/>
    <col min="2" max="2" width="42.6640625" customWidth="1"/>
    <col min="3" max="3" width="40.88671875" customWidth="1"/>
    <col min="4" max="4" width="44.88671875" customWidth="1"/>
    <col min="7" max="7" width="42" customWidth="1"/>
    <col min="8" max="8" width="13.6640625" customWidth="1"/>
    <col min="10" max="10" width="45.6640625" customWidth="1"/>
  </cols>
  <sheetData>
    <row r="1" spans="1:7">
      <c r="A1" s="14" t="s">
        <v>390</v>
      </c>
      <c r="B1" s="14" t="s">
        <v>1091</v>
      </c>
      <c r="C1" s="14" t="s">
        <v>84</v>
      </c>
      <c r="G1" s="14"/>
    </row>
    <row r="2" spans="1:7" ht="28.8">
      <c r="A2" s="5" t="s">
        <v>1054</v>
      </c>
      <c r="C2" t="s">
        <v>396</v>
      </c>
    </row>
    <row r="3" spans="1:7" ht="43.2">
      <c r="A3" s="5" t="s">
        <v>1103</v>
      </c>
      <c r="B3" s="5" t="s">
        <v>1126</v>
      </c>
      <c r="C3" t="s">
        <v>396</v>
      </c>
    </row>
    <row r="4" spans="1:7" ht="72">
      <c r="A4" t="s">
        <v>1111</v>
      </c>
      <c r="B4" s="5" t="s">
        <v>1112</v>
      </c>
      <c r="C4" t="s">
        <v>396</v>
      </c>
      <c r="G4" s="14"/>
    </row>
    <row r="5" spans="1:7">
      <c r="A5" t="s">
        <v>1114</v>
      </c>
      <c r="C5" t="s">
        <v>405</v>
      </c>
    </row>
    <row r="6" spans="1:7">
      <c r="A6" s="5" t="s">
        <v>1125</v>
      </c>
      <c r="B6" t="s">
        <v>1127</v>
      </c>
      <c r="C6" t="s">
        <v>396</v>
      </c>
    </row>
    <row r="7" spans="1:7">
      <c r="A7" s="13" t="s">
        <v>1143</v>
      </c>
      <c r="B7" t="s">
        <v>1145</v>
      </c>
      <c r="C7" t="s">
        <v>405</v>
      </c>
    </row>
    <row r="9" spans="1:7">
      <c r="A9" s="14" t="s">
        <v>1129</v>
      </c>
    </row>
    <row r="10" spans="1:7" ht="28.8">
      <c r="A10" s="5" t="s">
        <v>1137</v>
      </c>
      <c r="B10" t="s">
        <v>396</v>
      </c>
      <c r="C10" s="14" t="s">
        <v>1147</v>
      </c>
    </row>
    <row r="11" spans="1:7" ht="28.8">
      <c r="A11" s="5" t="s">
        <v>1130</v>
      </c>
      <c r="B11" t="s">
        <v>396</v>
      </c>
      <c r="C11" t="s">
        <v>1151</v>
      </c>
    </row>
    <row r="12" spans="1:7">
      <c r="A12" s="13" t="s">
        <v>1131</v>
      </c>
      <c r="B12" s="14" t="s">
        <v>405</v>
      </c>
      <c r="C12" t="s">
        <v>1148</v>
      </c>
      <c r="E12">
        <v>2</v>
      </c>
    </row>
    <row r="13" spans="1:7" ht="57.6">
      <c r="A13" s="5" t="s">
        <v>1132</v>
      </c>
      <c r="B13" t="s">
        <v>396</v>
      </c>
      <c r="C13" s="5" t="s">
        <v>1149</v>
      </c>
      <c r="D13" s="5" t="s">
        <v>1157</v>
      </c>
      <c r="E13">
        <v>3</v>
      </c>
    </row>
    <row r="14" spans="1:7" ht="86.4">
      <c r="A14" s="5" t="s">
        <v>1133</v>
      </c>
      <c r="B14" t="s">
        <v>396</v>
      </c>
      <c r="C14" s="5" t="s">
        <v>1162</v>
      </c>
      <c r="E14">
        <v>1</v>
      </c>
      <c r="F14" t="s">
        <v>1163</v>
      </c>
    </row>
    <row r="15" spans="1:7" ht="28.8">
      <c r="A15" s="5" t="s">
        <v>1134</v>
      </c>
      <c r="B15" s="14" t="s">
        <v>1146</v>
      </c>
      <c r="C15" t="s">
        <v>1150</v>
      </c>
    </row>
    <row r="16" spans="1:7">
      <c r="A16" s="5" t="s">
        <v>1135</v>
      </c>
      <c r="B16" t="s">
        <v>1146</v>
      </c>
      <c r="C16" t="s">
        <v>467</v>
      </c>
    </row>
    <row r="17" spans="1:3" ht="28.8">
      <c r="A17" s="5" t="s">
        <v>1136</v>
      </c>
      <c r="B17" t="s">
        <v>396</v>
      </c>
    </row>
    <row r="18" spans="1:3" ht="28.8">
      <c r="A18" s="13" t="s">
        <v>1139</v>
      </c>
      <c r="B18" t="s">
        <v>405</v>
      </c>
    </row>
    <row r="19" spans="1:3" ht="28.8">
      <c r="A19" s="13" t="s">
        <v>1140</v>
      </c>
      <c r="B19" t="s">
        <v>405</v>
      </c>
      <c r="C19" t="s">
        <v>1152</v>
      </c>
    </row>
    <row r="20" spans="1:3">
      <c r="A20" t="s">
        <v>1158</v>
      </c>
    </row>
    <row r="21" spans="1:3">
      <c r="A21" s="5" t="s">
        <v>1142</v>
      </c>
    </row>
    <row r="22" spans="1:3" ht="28.8">
      <c r="A22" s="5" t="s">
        <v>1141</v>
      </c>
    </row>
    <row r="26" spans="1:3">
      <c r="A26" s="14" t="s">
        <v>1156</v>
      </c>
    </row>
    <row r="27" spans="1:3">
      <c r="A27" t="s">
        <v>1153</v>
      </c>
    </row>
    <row r="28" spans="1:3">
      <c r="A28" t="s">
        <v>1159</v>
      </c>
    </row>
    <row r="29" spans="1:3">
      <c r="A29" t="s">
        <v>1154</v>
      </c>
    </row>
    <row r="30" spans="1:3">
      <c r="A30" t="s">
        <v>1155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54B88-E3B9-441A-8257-9C1C5A3ED25F}">
  <sheetPr filterMode="1"/>
  <dimension ref="A1:F57"/>
  <sheetViews>
    <sheetView rightToLeft="1" tabSelected="1" topLeftCell="A17" workbookViewId="0">
      <selection activeCell="B38" sqref="B38"/>
    </sheetView>
  </sheetViews>
  <sheetFormatPr defaultRowHeight="14.4"/>
  <cols>
    <col min="1" max="1" width="55.109375" customWidth="1"/>
    <col min="2" max="2" width="76" customWidth="1"/>
    <col min="3" max="3" width="17.21875" customWidth="1"/>
  </cols>
  <sheetData>
    <row r="1" spans="1:4">
      <c r="A1" s="14" t="s">
        <v>1026</v>
      </c>
      <c r="B1" s="14" t="s">
        <v>1091</v>
      </c>
      <c r="C1" s="14" t="s">
        <v>84</v>
      </c>
      <c r="D1" s="14" t="s">
        <v>389</v>
      </c>
    </row>
    <row r="2" spans="1:4" hidden="1">
      <c r="A2" t="s">
        <v>1115</v>
      </c>
      <c r="B2" t="s">
        <v>1116</v>
      </c>
      <c r="C2" t="s">
        <v>1117</v>
      </c>
      <c r="D2" s="14"/>
    </row>
    <row r="3" spans="1:4" hidden="1">
      <c r="A3" t="s">
        <v>1128</v>
      </c>
      <c r="C3" t="s">
        <v>1117</v>
      </c>
      <c r="D3" s="14"/>
    </row>
    <row r="4" spans="1:4" ht="100.8" hidden="1">
      <c r="A4" t="s">
        <v>1055</v>
      </c>
      <c r="B4" s="5" t="s">
        <v>1120</v>
      </c>
      <c r="C4" t="s">
        <v>396</v>
      </c>
      <c r="D4" t="s">
        <v>1057</v>
      </c>
    </row>
    <row r="5" spans="1:4" hidden="1">
      <c r="A5" t="s">
        <v>1056</v>
      </c>
      <c r="B5" s="5" t="s">
        <v>1119</v>
      </c>
      <c r="C5" t="s">
        <v>396</v>
      </c>
      <c r="D5" t="s">
        <v>260</v>
      </c>
    </row>
    <row r="6" spans="1:4" ht="28.8" hidden="1">
      <c r="A6" t="s">
        <v>1121</v>
      </c>
      <c r="B6" s="5" t="s">
        <v>1122</v>
      </c>
      <c r="C6" t="s">
        <v>1094</v>
      </c>
    </row>
    <row r="7" spans="1:4" ht="28.8" hidden="1">
      <c r="A7" t="s">
        <v>1033</v>
      </c>
      <c r="B7" s="5" t="s">
        <v>1118</v>
      </c>
      <c r="C7" s="5" t="s">
        <v>396</v>
      </c>
    </row>
    <row r="8" spans="1:4" hidden="1">
      <c r="A8" t="s">
        <v>1032</v>
      </c>
      <c r="B8" s="5" t="s">
        <v>1083</v>
      </c>
      <c r="C8" t="s">
        <v>396</v>
      </c>
    </row>
    <row r="9" spans="1:4" hidden="1">
      <c r="A9" t="s">
        <v>1028</v>
      </c>
      <c r="B9" s="5" t="s">
        <v>1097</v>
      </c>
      <c r="C9" t="s">
        <v>396</v>
      </c>
    </row>
    <row r="10" spans="1:4" ht="28.8" hidden="1">
      <c r="A10" t="s">
        <v>1050</v>
      </c>
      <c r="B10" s="5" t="s">
        <v>1058</v>
      </c>
      <c r="C10" t="s">
        <v>396</v>
      </c>
    </row>
    <row r="11" spans="1:4" hidden="1">
      <c r="A11" t="s">
        <v>1035</v>
      </c>
      <c r="B11" t="s">
        <v>1051</v>
      </c>
      <c r="C11" t="s">
        <v>396</v>
      </c>
    </row>
    <row r="12" spans="1:4" ht="43.2" hidden="1">
      <c r="A12" t="s">
        <v>1049</v>
      </c>
      <c r="B12" s="5" t="s">
        <v>1090</v>
      </c>
      <c r="C12" t="s">
        <v>396</v>
      </c>
    </row>
    <row r="13" spans="1:4" hidden="1">
      <c r="A13" t="s">
        <v>1079</v>
      </c>
      <c r="B13" t="s">
        <v>1082</v>
      </c>
      <c r="C13" t="s">
        <v>396</v>
      </c>
    </row>
    <row r="14" spans="1:4" ht="28.8" hidden="1">
      <c r="A14" t="s">
        <v>1034</v>
      </c>
      <c r="B14" s="5" t="s">
        <v>1123</v>
      </c>
      <c r="C14" t="s">
        <v>396</v>
      </c>
      <c r="D14" t="s">
        <v>657</v>
      </c>
    </row>
    <row r="15" spans="1:4" hidden="1">
      <c r="A15" t="s">
        <v>1047</v>
      </c>
      <c r="B15" t="s">
        <v>1113</v>
      </c>
      <c r="C15" t="s">
        <v>396</v>
      </c>
      <c r="D15" t="s">
        <v>657</v>
      </c>
    </row>
    <row r="16" spans="1:4" ht="100.8">
      <c r="A16" s="5" t="s">
        <v>1030</v>
      </c>
      <c r="B16" s="5" t="s">
        <v>1048</v>
      </c>
      <c r="C16" t="s">
        <v>1124</v>
      </c>
      <c r="D16" t="s">
        <v>1100</v>
      </c>
    </row>
    <row r="17" spans="1:6">
      <c r="A17" t="s">
        <v>1036</v>
      </c>
      <c r="B17" t="s">
        <v>1037</v>
      </c>
      <c r="C17" t="s">
        <v>1124</v>
      </c>
      <c r="D17" t="s">
        <v>1100</v>
      </c>
    </row>
    <row r="18" spans="1:6">
      <c r="A18" t="s">
        <v>1031</v>
      </c>
      <c r="C18" t="s">
        <v>1124</v>
      </c>
      <c r="D18" t="s">
        <v>1100</v>
      </c>
    </row>
    <row r="19" spans="1:6" ht="43.2">
      <c r="A19" t="s">
        <v>1038</v>
      </c>
      <c r="B19" s="5" t="s">
        <v>1102</v>
      </c>
      <c r="C19" t="s">
        <v>405</v>
      </c>
      <c r="D19" t="s">
        <v>1099</v>
      </c>
    </row>
    <row r="20" spans="1:6" ht="28.8" hidden="1">
      <c r="A20" t="s">
        <v>1039</v>
      </c>
      <c r="B20" s="5" t="s">
        <v>1092</v>
      </c>
      <c r="C20" t="s">
        <v>1093</v>
      </c>
    </row>
    <row r="21" spans="1:6">
      <c r="A21" t="s">
        <v>1027</v>
      </c>
      <c r="B21" t="s">
        <v>1089</v>
      </c>
      <c r="C21" t="s">
        <v>405</v>
      </c>
      <c r="D21" t="s">
        <v>1101</v>
      </c>
    </row>
    <row r="22" spans="1:6">
      <c r="A22" t="s">
        <v>1029</v>
      </c>
      <c r="B22" t="s">
        <v>1170</v>
      </c>
      <c r="C22" t="s">
        <v>405</v>
      </c>
      <c r="D22" t="s">
        <v>1101</v>
      </c>
    </row>
    <row r="23" spans="1:6" hidden="1">
      <c r="A23" t="s">
        <v>1040</v>
      </c>
      <c r="C23" t="s">
        <v>1094</v>
      </c>
    </row>
    <row r="24" spans="1:6">
      <c r="A24" t="s">
        <v>1087</v>
      </c>
      <c r="B24" t="s">
        <v>1088</v>
      </c>
      <c r="C24" t="s">
        <v>405</v>
      </c>
      <c r="D24" t="s">
        <v>1099</v>
      </c>
    </row>
    <row r="25" spans="1:6" hidden="1">
      <c r="A25" t="s">
        <v>1095</v>
      </c>
      <c r="B25" t="s">
        <v>1110</v>
      </c>
      <c r="C25" t="s">
        <v>396</v>
      </c>
      <c r="D25" t="s">
        <v>1105</v>
      </c>
    </row>
    <row r="26" spans="1:6" hidden="1">
      <c r="A26" t="s">
        <v>1096</v>
      </c>
      <c r="B26" t="s">
        <v>1098</v>
      </c>
      <c r="C26" t="s">
        <v>396</v>
      </c>
      <c r="D26" t="s">
        <v>1099</v>
      </c>
    </row>
    <row r="27" spans="1:6" ht="28.8" hidden="1">
      <c r="A27" s="5" t="s">
        <v>1054</v>
      </c>
      <c r="C27" t="s">
        <v>396</v>
      </c>
      <c r="D27" t="s">
        <v>1105</v>
      </c>
      <c r="F27">
        <v>4</v>
      </c>
    </row>
    <row r="28" spans="1:6" ht="28.8" hidden="1">
      <c r="A28" t="s">
        <v>1106</v>
      </c>
      <c r="B28" s="5" t="s">
        <v>1107</v>
      </c>
      <c r="C28" t="s">
        <v>396</v>
      </c>
      <c r="D28" t="s">
        <v>1105</v>
      </c>
    </row>
    <row r="29" spans="1:6" ht="28.8" hidden="1">
      <c r="A29" s="5" t="s">
        <v>1103</v>
      </c>
      <c r="B29" s="5" t="s">
        <v>1126</v>
      </c>
      <c r="C29" t="s">
        <v>396</v>
      </c>
      <c r="D29" t="s">
        <v>1105</v>
      </c>
      <c r="F29">
        <v>5</v>
      </c>
    </row>
    <row r="30" spans="1:6" hidden="1">
      <c r="A30" t="s">
        <v>1104</v>
      </c>
      <c r="C30" t="s">
        <v>396</v>
      </c>
      <c r="D30" t="s">
        <v>1105</v>
      </c>
    </row>
    <row r="31" spans="1:6" ht="43.2" hidden="1">
      <c r="A31" s="14" t="s">
        <v>1111</v>
      </c>
      <c r="B31" s="5" t="s">
        <v>1112</v>
      </c>
      <c r="C31" t="s">
        <v>396</v>
      </c>
      <c r="D31" t="s">
        <v>1105</v>
      </c>
      <c r="F31">
        <v>2</v>
      </c>
    </row>
    <row r="32" spans="1:6" hidden="1">
      <c r="A32" t="s">
        <v>1114</v>
      </c>
      <c r="B32" t="s">
        <v>1144</v>
      </c>
      <c r="C32" t="s">
        <v>396</v>
      </c>
      <c r="D32" t="s">
        <v>1099</v>
      </c>
    </row>
    <row r="33" spans="1:6" ht="28.8" hidden="1">
      <c r="A33" s="5" t="s">
        <v>1125</v>
      </c>
      <c r="B33" t="s">
        <v>1127</v>
      </c>
      <c r="C33" t="s">
        <v>396</v>
      </c>
      <c r="D33" t="s">
        <v>1105</v>
      </c>
      <c r="F33">
        <v>3</v>
      </c>
    </row>
    <row r="34" spans="1:6" hidden="1">
      <c r="A34" t="s">
        <v>1108</v>
      </c>
      <c r="B34" t="s">
        <v>1109</v>
      </c>
      <c r="C34" t="s">
        <v>396</v>
      </c>
      <c r="D34" t="s">
        <v>1101</v>
      </c>
      <c r="F34">
        <v>1</v>
      </c>
    </row>
    <row r="35" spans="1:6">
      <c r="A35" t="s">
        <v>1161</v>
      </c>
      <c r="B35" s="14"/>
      <c r="C35" s="14" t="s">
        <v>405</v>
      </c>
      <c r="D35" t="s">
        <v>1105</v>
      </c>
      <c r="E35" s="14"/>
    </row>
    <row r="36" spans="1:6">
      <c r="A36" t="s">
        <v>1164</v>
      </c>
      <c r="C36" s="14" t="s">
        <v>405</v>
      </c>
      <c r="D36" t="s">
        <v>1105</v>
      </c>
    </row>
    <row r="37" spans="1:6" ht="43.2">
      <c r="A37" t="s">
        <v>1165</v>
      </c>
      <c r="B37" s="5" t="s">
        <v>1171</v>
      </c>
      <c r="C37" t="s">
        <v>402</v>
      </c>
      <c r="D37" t="s">
        <v>1105</v>
      </c>
    </row>
    <row r="38" spans="1:6">
      <c r="A38" t="s">
        <v>1166</v>
      </c>
      <c r="C38" t="s">
        <v>164</v>
      </c>
      <c r="D38" t="s">
        <v>1105</v>
      </c>
    </row>
    <row r="39" spans="1:6">
      <c r="A39" s="14" t="s">
        <v>1167</v>
      </c>
      <c r="C39" t="s">
        <v>405</v>
      </c>
      <c r="D39" t="s">
        <v>1105</v>
      </c>
    </row>
    <row r="40" spans="1:6" ht="86.4">
      <c r="A40" t="s">
        <v>1168</v>
      </c>
      <c r="B40" s="5" t="s">
        <v>1172</v>
      </c>
      <c r="C40" t="s">
        <v>405</v>
      </c>
      <c r="D40" t="s">
        <v>1105</v>
      </c>
    </row>
    <row r="41" spans="1:6">
      <c r="A41" t="s">
        <v>1169</v>
      </c>
      <c r="C41" s="14" t="s">
        <v>405</v>
      </c>
      <c r="D41" t="s">
        <v>1105</v>
      </c>
    </row>
    <row r="45" spans="1:6">
      <c r="A45" s="14" t="s">
        <v>1041</v>
      </c>
    </row>
    <row r="46" spans="1:6">
      <c r="A46" t="s">
        <v>1042</v>
      </c>
      <c r="B46" t="s">
        <v>1138</v>
      </c>
    </row>
    <row r="47" spans="1:6">
      <c r="A47" t="s">
        <v>1043</v>
      </c>
    </row>
    <row r="48" spans="1:6">
      <c r="A48" t="s">
        <v>1085</v>
      </c>
    </row>
    <row r="50" spans="1:2">
      <c r="A50" s="14" t="s">
        <v>1044</v>
      </c>
    </row>
    <row r="51" spans="1:2">
      <c r="A51" t="s">
        <v>1045</v>
      </c>
      <c r="B51" t="s">
        <v>1084</v>
      </c>
    </row>
    <row r="52" spans="1:2">
      <c r="A52" t="s">
        <v>1046</v>
      </c>
    </row>
    <row r="53" spans="1:2">
      <c r="A53" t="s">
        <v>1086</v>
      </c>
    </row>
    <row r="56" spans="1:2">
      <c r="A56" s="14" t="s">
        <v>1052</v>
      </c>
    </row>
    <row r="57" spans="1:2">
      <c r="A57" t="s">
        <v>1053</v>
      </c>
    </row>
  </sheetData>
  <autoFilter ref="A1:C42" xr:uid="{ECF54B88-E3B9-441A-8257-9C1C5A3ED25F}">
    <filterColumn colId="2">
      <filters>
        <filter val="בביצוע"/>
        <filter val="לביצוע"/>
        <filter val="לביצוע לקראת התאמות"/>
        <filter val="להחליט לגבי זה"/>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AAFE0-452D-4051-B347-ABC11C3B618F}">
  <dimension ref="B2:M23"/>
  <sheetViews>
    <sheetView rightToLeft="1" workbookViewId="0">
      <selection activeCell="B23" sqref="B23"/>
    </sheetView>
  </sheetViews>
  <sheetFormatPr defaultRowHeight="14.4"/>
  <sheetData>
    <row r="2" spans="2:13">
      <c r="B2" t="s">
        <v>1065</v>
      </c>
    </row>
    <row r="4" spans="2:13">
      <c r="B4" t="s">
        <v>1059</v>
      </c>
      <c r="J4" t="s">
        <v>1061</v>
      </c>
    </row>
    <row r="5" spans="2:13">
      <c r="B5" t="s">
        <v>1060</v>
      </c>
      <c r="J5" t="s">
        <v>1062</v>
      </c>
    </row>
    <row r="6" spans="2:13">
      <c r="B6" t="s">
        <v>1071</v>
      </c>
      <c r="J6" t="s">
        <v>1063</v>
      </c>
    </row>
    <row r="7" spans="2:13">
      <c r="B7" t="s">
        <v>1075</v>
      </c>
    </row>
    <row r="8" spans="2:13">
      <c r="B8" t="s">
        <v>1064</v>
      </c>
      <c r="M8" t="s">
        <v>1066</v>
      </c>
    </row>
    <row r="9" spans="2:13">
      <c r="B9" t="s">
        <v>1072</v>
      </c>
    </row>
    <row r="11" spans="2:13">
      <c r="B11" t="s">
        <v>1067</v>
      </c>
      <c r="C11" t="s">
        <v>1068</v>
      </c>
    </row>
    <row r="12" spans="2:13" ht="20.399999999999999">
      <c r="B12" s="67" t="s">
        <v>1069</v>
      </c>
      <c r="C12" t="s">
        <v>1070</v>
      </c>
      <c r="L12" s="66" t="s">
        <v>1067</v>
      </c>
    </row>
    <row r="15" spans="2:13">
      <c r="C15" t="s">
        <v>1074</v>
      </c>
      <c r="J15" t="s">
        <v>1073</v>
      </c>
    </row>
    <row r="19" spans="2:2">
      <c r="B19" t="s">
        <v>1076</v>
      </c>
    </row>
    <row r="20" spans="2:2">
      <c r="B20" t="s">
        <v>1077</v>
      </c>
    </row>
    <row r="21" spans="2:2">
      <c r="B21" t="s">
        <v>1078</v>
      </c>
    </row>
    <row r="22" spans="2:2">
      <c r="B22" t="s">
        <v>1080</v>
      </c>
    </row>
    <row r="23" spans="2:2">
      <c r="B23" t="s">
        <v>1081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5"/>
  <sheetViews>
    <sheetView rightToLeft="1" workbookViewId="0">
      <selection activeCell="H1" sqref="H1:O19"/>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s="14"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s="14" t="s">
        <v>464</v>
      </c>
    </row>
    <row r="23" spans="1:4">
      <c r="A23" s="14" t="s">
        <v>465</v>
      </c>
      <c r="D23" t="s">
        <v>661</v>
      </c>
    </row>
    <row r="24" spans="1:4">
      <c r="A24" t="s">
        <v>466</v>
      </c>
      <c r="D24" t="s">
        <v>662</v>
      </c>
    </row>
    <row r="25" spans="1:4">
      <c r="A25" s="14" t="s">
        <v>467</v>
      </c>
    </row>
    <row r="26" spans="1:4">
      <c r="A26" s="14" t="s">
        <v>688</v>
      </c>
    </row>
    <row r="27" spans="1:4">
      <c r="A27" s="14" t="s">
        <v>689</v>
      </c>
    </row>
    <row r="28" spans="1:4">
      <c r="A28" t="s">
        <v>1021</v>
      </c>
    </row>
    <row r="29" spans="1:4">
      <c r="A29" s="14" t="s">
        <v>1022</v>
      </c>
    </row>
    <row r="30" spans="1:4">
      <c r="A30" s="14" t="s">
        <v>1025</v>
      </c>
    </row>
    <row r="34" spans="1:1">
      <c r="A34" t="s">
        <v>619</v>
      </c>
    </row>
    <row r="35" spans="1:1">
      <c r="A35" t="s">
        <v>620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3" sqref="B13"/>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workbookViewId="0">
      <selection activeCell="L2" sqref="L2"/>
    </sheetView>
  </sheetViews>
  <sheetFormatPr defaultRowHeight="14.4"/>
  <cols>
    <col min="13" max="13" width="14.77734375" customWidth="1"/>
    <col min="14" max="14" width="16.77734375" customWidth="1"/>
    <col min="15" max="15" width="17.109375" customWidth="1"/>
  </cols>
  <sheetData>
    <row r="2" spans="2:20">
      <c r="B2" t="s">
        <v>897</v>
      </c>
      <c r="R2" t="s">
        <v>829</v>
      </c>
    </row>
    <row r="3" spans="2:20">
      <c r="B3" t="s">
        <v>857</v>
      </c>
      <c r="R3" t="s">
        <v>832</v>
      </c>
    </row>
    <row r="4" spans="2:20">
      <c r="B4" t="s">
        <v>806</v>
      </c>
    </row>
    <row r="5" spans="2:20">
      <c r="B5" t="s">
        <v>896</v>
      </c>
      <c r="R5" t="s">
        <v>836</v>
      </c>
    </row>
    <row r="6" spans="2:20">
      <c r="R6" t="s">
        <v>840</v>
      </c>
    </row>
    <row r="7" spans="2:20">
      <c r="B7" t="s">
        <v>807</v>
      </c>
      <c r="R7" t="s">
        <v>844</v>
      </c>
    </row>
    <row r="8" spans="2:20">
      <c r="R8" t="s">
        <v>845</v>
      </c>
    </row>
    <row r="9" spans="2:20" ht="72.599999999999994">
      <c r="K9" s="60" t="s">
        <v>843</v>
      </c>
      <c r="L9" t="s">
        <v>830</v>
      </c>
      <c r="M9" s="59" t="s">
        <v>831</v>
      </c>
      <c r="N9" s="5" t="s">
        <v>834</v>
      </c>
      <c r="O9" s="59" t="s">
        <v>846</v>
      </c>
      <c r="P9" s="5" t="s">
        <v>847</v>
      </c>
    </row>
    <row r="10" spans="2:20">
      <c r="B10" t="s">
        <v>808</v>
      </c>
      <c r="J10" t="s">
        <v>821</v>
      </c>
      <c r="K10">
        <v>90</v>
      </c>
      <c r="L10">
        <v>68</v>
      </c>
      <c r="M10">
        <v>82</v>
      </c>
      <c r="N10" s="58" t="s">
        <v>838</v>
      </c>
      <c r="O10" t="s">
        <v>850</v>
      </c>
      <c r="P10" t="s">
        <v>851</v>
      </c>
    </row>
    <row r="11" spans="2:20">
      <c r="J11" t="s">
        <v>822</v>
      </c>
      <c r="K11">
        <v>58</v>
      </c>
      <c r="L11">
        <v>51</v>
      </c>
      <c r="M11" s="57" t="s">
        <v>833</v>
      </c>
      <c r="N11" s="57" t="s">
        <v>835</v>
      </c>
      <c r="O11" t="s">
        <v>848</v>
      </c>
      <c r="P11" t="s">
        <v>849</v>
      </c>
      <c r="T11" t="s">
        <v>852</v>
      </c>
    </row>
    <row r="12" spans="2:20">
      <c r="J12" t="s">
        <v>823</v>
      </c>
      <c r="K12">
        <v>81</v>
      </c>
      <c r="L12">
        <v>61</v>
      </c>
      <c r="M12">
        <v>65</v>
      </c>
      <c r="N12" s="58" t="s">
        <v>839</v>
      </c>
      <c r="O12" t="s">
        <v>854</v>
      </c>
      <c r="P12">
        <v>48</v>
      </c>
      <c r="T12" t="s">
        <v>853</v>
      </c>
    </row>
    <row r="13" spans="2:20">
      <c r="J13" t="s">
        <v>824</v>
      </c>
      <c r="K13">
        <v>93</v>
      </c>
      <c r="L13">
        <v>71</v>
      </c>
      <c r="M13">
        <v>87</v>
      </c>
      <c r="N13" s="58" t="s">
        <v>841</v>
      </c>
      <c r="O13" t="s">
        <v>856</v>
      </c>
      <c r="P13">
        <v>75</v>
      </c>
    </row>
    <row r="14" spans="2:20">
      <c r="B14" s="58" t="s">
        <v>809</v>
      </c>
      <c r="J14" t="s">
        <v>825</v>
      </c>
      <c r="K14">
        <v>63</v>
      </c>
      <c r="L14">
        <v>63</v>
      </c>
      <c r="M14">
        <v>81</v>
      </c>
      <c r="N14" s="57" t="s">
        <v>837</v>
      </c>
      <c r="O14" t="s">
        <v>855</v>
      </c>
      <c r="P14">
        <v>45</v>
      </c>
    </row>
    <row r="15" spans="2:20">
      <c r="B15" t="s">
        <v>810</v>
      </c>
      <c r="J15" t="s">
        <v>826</v>
      </c>
      <c r="K15">
        <v>54</v>
      </c>
      <c r="L15">
        <v>38</v>
      </c>
      <c r="M15">
        <v>51</v>
      </c>
      <c r="N15" s="58" t="s">
        <v>842</v>
      </c>
    </row>
    <row r="16" spans="2:20">
      <c r="B16" t="s">
        <v>811</v>
      </c>
      <c r="J16" t="s">
        <v>827</v>
      </c>
      <c r="L16">
        <v>17</v>
      </c>
    </row>
    <row r="17" spans="2:15">
      <c r="J17" t="s">
        <v>828</v>
      </c>
      <c r="L17">
        <v>65</v>
      </c>
    </row>
    <row r="20" spans="2:15">
      <c r="B20" t="s">
        <v>812</v>
      </c>
    </row>
    <row r="22" spans="2:15">
      <c r="O22" t="s">
        <v>813</v>
      </c>
    </row>
    <row r="23" spans="2:15">
      <c r="O23" t="s">
        <v>814</v>
      </c>
    </row>
    <row r="24" spans="2:15">
      <c r="O24" t="s">
        <v>815</v>
      </c>
    </row>
    <row r="25" spans="2:15">
      <c r="O25" t="s">
        <v>816</v>
      </c>
    </row>
    <row r="26" spans="2:15">
      <c r="O26" t="s">
        <v>817</v>
      </c>
    </row>
    <row r="27" spans="2:15">
      <c r="O27" t="s">
        <v>818</v>
      </c>
    </row>
    <row r="29" spans="2:15">
      <c r="O29" s="14" t="s">
        <v>819</v>
      </c>
    </row>
    <row r="31" spans="2:15">
      <c r="O31" t="s">
        <v>820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32"/>
  <sheetViews>
    <sheetView rightToLeft="1" topLeftCell="A3" workbookViewId="0">
      <selection activeCell="B8" sqref="B8"/>
    </sheetView>
  </sheetViews>
  <sheetFormatPr defaultRowHeight="14.4"/>
  <cols>
    <col min="1" max="1" width="18.6640625" customWidth="1"/>
    <col min="2" max="2" width="96.21875" customWidth="1"/>
    <col min="3" max="3" width="40.33203125" customWidth="1"/>
    <col min="4" max="5" width="40.6640625" customWidth="1"/>
  </cols>
  <sheetData>
    <row r="1" spans="1:7">
      <c r="A1" s="14" t="s">
        <v>875</v>
      </c>
      <c r="B1" s="14" t="s">
        <v>880</v>
      </c>
      <c r="C1" s="14" t="s">
        <v>881</v>
      </c>
      <c r="D1" s="14" t="s">
        <v>882</v>
      </c>
    </row>
    <row r="2" spans="1:7" ht="187.2">
      <c r="A2" s="5" t="s">
        <v>415</v>
      </c>
      <c r="B2" s="5" t="s">
        <v>1006</v>
      </c>
      <c r="C2" s="5" t="s">
        <v>1007</v>
      </c>
      <c r="D2" s="5" t="s">
        <v>908</v>
      </c>
    </row>
    <row r="3" spans="1:7" ht="86.4">
      <c r="A3" s="5" t="s">
        <v>876</v>
      </c>
      <c r="B3" t="s">
        <v>888</v>
      </c>
      <c r="C3" s="5" t="s">
        <v>1023</v>
      </c>
      <c r="D3" s="61" t="s">
        <v>911</v>
      </c>
      <c r="G3" s="14"/>
    </row>
    <row r="4" spans="1:7" ht="57.6">
      <c r="A4" t="s">
        <v>426</v>
      </c>
      <c r="B4" t="s">
        <v>889</v>
      </c>
      <c r="C4" s="5" t="s">
        <v>890</v>
      </c>
      <c r="D4" s="5" t="s">
        <v>910</v>
      </c>
    </row>
    <row r="5" spans="1:7" ht="28.8">
      <c r="A5" t="s">
        <v>693</v>
      </c>
      <c r="B5" t="s">
        <v>884</v>
      </c>
      <c r="C5" t="s">
        <v>885</v>
      </c>
      <c r="D5" s="5" t="s">
        <v>891</v>
      </c>
    </row>
    <row r="6" spans="1:7" ht="28.8">
      <c r="A6" t="s">
        <v>429</v>
      </c>
      <c r="B6" t="s">
        <v>887</v>
      </c>
      <c r="C6" s="5" t="s">
        <v>886</v>
      </c>
      <c r="D6" t="s">
        <v>883</v>
      </c>
    </row>
    <row r="7" spans="1:7" ht="43.2">
      <c r="A7" t="s">
        <v>877</v>
      </c>
      <c r="B7" s="5" t="s">
        <v>1024</v>
      </c>
      <c r="C7" s="5" t="s">
        <v>893</v>
      </c>
      <c r="D7" s="5" t="s">
        <v>892</v>
      </c>
    </row>
    <row r="8" spans="1:7" ht="115.2">
      <c r="A8" t="s">
        <v>878</v>
      </c>
      <c r="B8" s="5" t="s">
        <v>1020</v>
      </c>
      <c r="C8" s="5" t="s">
        <v>894</v>
      </c>
      <c r="D8" s="5" t="s">
        <v>895</v>
      </c>
    </row>
    <row r="9" spans="1:7" ht="144">
      <c r="A9" s="58" t="s">
        <v>867</v>
      </c>
      <c r="B9" s="5" t="s">
        <v>906</v>
      </c>
      <c r="C9" s="5" t="s">
        <v>907</v>
      </c>
      <c r="D9" s="5" t="s">
        <v>1003</v>
      </c>
    </row>
    <row r="10" spans="1:7" ht="115.2">
      <c r="A10" t="s">
        <v>874</v>
      </c>
      <c r="B10" t="s">
        <v>898</v>
      </c>
      <c r="C10" s="5" t="s">
        <v>1004</v>
      </c>
      <c r="D10" s="5" t="s">
        <v>899</v>
      </c>
    </row>
    <row r="11" spans="1:7">
      <c r="A11" t="s">
        <v>10</v>
      </c>
      <c r="B11" t="s">
        <v>898</v>
      </c>
      <c r="C11" s="5" t="s">
        <v>900</v>
      </c>
    </row>
    <row r="12" spans="1:7">
      <c r="A12" t="s">
        <v>384</v>
      </c>
      <c r="B12" t="s">
        <v>898</v>
      </c>
      <c r="C12" s="5" t="s">
        <v>260</v>
      </c>
    </row>
    <row r="13" spans="1:7" ht="43.2">
      <c r="A13" t="s">
        <v>879</v>
      </c>
      <c r="B13" s="5" t="s">
        <v>1160</v>
      </c>
      <c r="C13" s="5" t="s">
        <v>901</v>
      </c>
      <c r="D13" s="5" t="s">
        <v>899</v>
      </c>
    </row>
    <row r="14" spans="1:7" ht="158.4">
      <c r="A14" t="s">
        <v>438</v>
      </c>
      <c r="B14" s="5" t="s">
        <v>1002</v>
      </c>
      <c r="C14" s="5" t="s">
        <v>999</v>
      </c>
      <c r="D14" s="5" t="s">
        <v>1005</v>
      </c>
    </row>
    <row r="18" spans="1:2" ht="201.6">
      <c r="A18" t="s">
        <v>909</v>
      </c>
      <c r="B18" s="5" t="s">
        <v>1018</v>
      </c>
    </row>
    <row r="19" spans="1:2" ht="28.8">
      <c r="B19" s="5" t="s">
        <v>1016</v>
      </c>
    </row>
    <row r="20" spans="1:2">
      <c r="B20" t="s">
        <v>1017</v>
      </c>
    </row>
    <row r="21" spans="1:2">
      <c r="B21" t="s">
        <v>1019</v>
      </c>
    </row>
    <row r="23" spans="1:2">
      <c r="A23" s="14"/>
    </row>
    <row r="26" spans="1:2">
      <c r="A26" s="14" t="s">
        <v>904</v>
      </c>
    </row>
    <row r="27" spans="1:2">
      <c r="A27" t="s">
        <v>859</v>
      </c>
    </row>
    <row r="28" spans="1:2">
      <c r="A28" t="s">
        <v>858</v>
      </c>
    </row>
    <row r="29" spans="1:2">
      <c r="A29" t="s">
        <v>902</v>
      </c>
    </row>
    <row r="30" spans="1:2">
      <c r="A30" t="s">
        <v>903</v>
      </c>
    </row>
    <row r="32" spans="1:2">
      <c r="A32" s="14" t="s">
        <v>905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B26E2-2FEB-428C-8A2B-44341C3C4297}">
  <dimension ref="B1:P37"/>
  <sheetViews>
    <sheetView rightToLeft="1" topLeftCell="C10" workbookViewId="0">
      <selection activeCell="J15" sqref="J15"/>
    </sheetView>
  </sheetViews>
  <sheetFormatPr defaultRowHeight="14.4"/>
  <cols>
    <col min="2" max="2" width="16.44140625" customWidth="1"/>
    <col min="3" max="3" width="24.33203125" customWidth="1"/>
    <col min="4" max="4" width="34.5546875" customWidth="1"/>
    <col min="5" max="5" width="38.21875" customWidth="1"/>
  </cols>
  <sheetData>
    <row r="1" spans="2:16">
      <c r="B1" s="62" t="s">
        <v>912</v>
      </c>
      <c r="C1" s="62" t="s">
        <v>913</v>
      </c>
      <c r="D1" s="62" t="s">
        <v>151</v>
      </c>
      <c r="E1" s="62" t="s">
        <v>213</v>
      </c>
      <c r="G1" s="62" t="s">
        <v>961</v>
      </c>
    </row>
    <row r="2" spans="2:16" ht="28.8">
      <c r="B2" s="63" t="s">
        <v>914</v>
      </c>
      <c r="C2" s="63" t="s">
        <v>915</v>
      </c>
      <c r="D2" s="63" t="s">
        <v>916</v>
      </c>
      <c r="E2" s="63">
        <v>4</v>
      </c>
      <c r="G2" s="65" t="s">
        <v>962</v>
      </c>
    </row>
    <row r="3" spans="2:16" ht="28.8">
      <c r="B3" s="63" t="s">
        <v>917</v>
      </c>
      <c r="C3" s="63" t="s">
        <v>918</v>
      </c>
      <c r="D3" s="63" t="s">
        <v>919</v>
      </c>
      <c r="E3" s="63" t="s">
        <v>920</v>
      </c>
      <c r="G3" s="63" t="s">
        <v>963</v>
      </c>
    </row>
    <row r="4" spans="2:16" ht="28.8">
      <c r="B4" s="63" t="s">
        <v>921</v>
      </c>
      <c r="C4" s="63" t="s">
        <v>922</v>
      </c>
      <c r="D4" s="63" t="s">
        <v>923</v>
      </c>
      <c r="E4" s="63" t="s">
        <v>924</v>
      </c>
      <c r="G4" s="63" t="s">
        <v>964</v>
      </c>
    </row>
    <row r="5" spans="2:16" ht="28.8">
      <c r="B5" s="63" t="s">
        <v>925</v>
      </c>
      <c r="C5" s="63" t="s">
        <v>926</v>
      </c>
      <c r="D5" s="63" t="s">
        <v>927</v>
      </c>
      <c r="E5" s="63" t="s">
        <v>924</v>
      </c>
      <c r="G5" s="63" t="s">
        <v>964</v>
      </c>
    </row>
    <row r="6" spans="2:16" ht="57.6">
      <c r="B6" s="63" t="s">
        <v>928</v>
      </c>
      <c r="C6" s="63" t="s">
        <v>929</v>
      </c>
      <c r="D6" s="63" t="s">
        <v>930</v>
      </c>
      <c r="E6" s="63" t="s">
        <v>931</v>
      </c>
      <c r="G6" s="63" t="s">
        <v>965</v>
      </c>
    </row>
    <row r="7" spans="2:16" ht="28.8">
      <c r="B7" s="63" t="s">
        <v>932</v>
      </c>
      <c r="C7" s="63" t="s">
        <v>933</v>
      </c>
      <c r="D7" s="63" t="s">
        <v>934</v>
      </c>
      <c r="E7" s="63" t="s">
        <v>935</v>
      </c>
      <c r="G7" s="63" t="s">
        <v>966</v>
      </c>
    </row>
    <row r="8" spans="2:16" ht="43.2">
      <c r="B8" s="63" t="s">
        <v>936</v>
      </c>
      <c r="C8" s="63" t="s">
        <v>937</v>
      </c>
      <c r="D8" s="63" t="s">
        <v>938</v>
      </c>
      <c r="E8" s="63" t="s">
        <v>939</v>
      </c>
      <c r="G8" s="63" t="s">
        <v>967</v>
      </c>
    </row>
    <row r="9" spans="2:16" ht="43.2">
      <c r="B9" s="63" t="s">
        <v>940</v>
      </c>
      <c r="C9" s="63" t="s">
        <v>941</v>
      </c>
      <c r="D9" s="63" t="s">
        <v>942</v>
      </c>
      <c r="E9" s="63" t="s">
        <v>943</v>
      </c>
      <c r="G9" s="63" t="s">
        <v>968</v>
      </c>
    </row>
    <row r="10" spans="2:16" ht="43.2">
      <c r="B10" s="63" t="s">
        <v>944</v>
      </c>
      <c r="C10" s="63" t="s">
        <v>945</v>
      </c>
      <c r="D10" s="63" t="s">
        <v>946</v>
      </c>
      <c r="E10" s="63" t="s">
        <v>947</v>
      </c>
      <c r="G10" s="63" t="s">
        <v>969</v>
      </c>
    </row>
    <row r="11" spans="2:16" ht="28.8">
      <c r="B11" s="63" t="s">
        <v>948</v>
      </c>
      <c r="C11" s="63" t="s">
        <v>949</v>
      </c>
      <c r="D11" s="63" t="s">
        <v>950</v>
      </c>
      <c r="E11" s="63" t="s">
        <v>924</v>
      </c>
    </row>
    <row r="12" spans="2:16" ht="28.8">
      <c r="B12" s="63" t="s">
        <v>951</v>
      </c>
      <c r="C12" s="63" t="s">
        <v>952</v>
      </c>
      <c r="D12" s="63" t="s">
        <v>953</v>
      </c>
      <c r="E12" s="63" t="s">
        <v>954</v>
      </c>
    </row>
    <row r="14" spans="2:16">
      <c r="F14" t="s">
        <v>961</v>
      </c>
      <c r="G14" t="s">
        <v>983</v>
      </c>
      <c r="H14" t="s">
        <v>823</v>
      </c>
      <c r="I14" t="s">
        <v>985</v>
      </c>
      <c r="J14" t="s">
        <v>822</v>
      </c>
      <c r="K14" t="s">
        <v>986</v>
      </c>
      <c r="L14" t="s">
        <v>987</v>
      </c>
      <c r="M14" t="s">
        <v>824</v>
      </c>
      <c r="N14" t="s">
        <v>828</v>
      </c>
      <c r="P14" t="s">
        <v>988</v>
      </c>
    </row>
    <row r="15" spans="2:16">
      <c r="B15" s="64" t="s">
        <v>960</v>
      </c>
      <c r="D15">
        <v>80</v>
      </c>
      <c r="E15" s="63" t="s">
        <v>970</v>
      </c>
      <c r="F15" s="14">
        <v>78</v>
      </c>
      <c r="G15" s="14">
        <v>94</v>
      </c>
      <c r="H15" s="14">
        <v>91</v>
      </c>
      <c r="I15" s="14">
        <v>84</v>
      </c>
      <c r="J15" s="14">
        <v>86</v>
      </c>
      <c r="K15" s="14">
        <v>79</v>
      </c>
      <c r="L15" s="14">
        <v>66</v>
      </c>
      <c r="M15" s="14">
        <v>80</v>
      </c>
      <c r="N15" s="14">
        <v>74</v>
      </c>
      <c r="O15">
        <v>100</v>
      </c>
      <c r="P15">
        <v>50</v>
      </c>
    </row>
    <row r="16" spans="2:16">
      <c r="C16" t="s">
        <v>955</v>
      </c>
      <c r="E16" s="63" t="s">
        <v>971</v>
      </c>
      <c r="F16">
        <v>92</v>
      </c>
      <c r="G16">
        <v>86</v>
      </c>
      <c r="H16">
        <v>68</v>
      </c>
      <c r="I16">
        <v>90</v>
      </c>
      <c r="J16">
        <v>94</v>
      </c>
      <c r="K16">
        <v>82</v>
      </c>
      <c r="L16">
        <v>74</v>
      </c>
      <c r="M16">
        <v>96</v>
      </c>
      <c r="N16">
        <v>78</v>
      </c>
      <c r="O16">
        <v>100</v>
      </c>
      <c r="P16">
        <v>60</v>
      </c>
    </row>
    <row r="17" spans="3:16">
      <c r="C17" t="s">
        <v>956</v>
      </c>
      <c r="D17">
        <v>84</v>
      </c>
      <c r="E17" s="63" t="s">
        <v>984</v>
      </c>
      <c r="F17" s="14">
        <v>84</v>
      </c>
      <c r="G17" s="14">
        <v>95</v>
      </c>
      <c r="H17" s="14">
        <v>94</v>
      </c>
      <c r="I17" s="14">
        <v>82</v>
      </c>
      <c r="J17" s="14">
        <v>82</v>
      </c>
      <c r="K17" s="14">
        <v>58</v>
      </c>
      <c r="L17" s="14">
        <v>72</v>
      </c>
      <c r="M17" s="14">
        <v>84</v>
      </c>
      <c r="N17" s="14">
        <v>76</v>
      </c>
      <c r="O17">
        <v>100</v>
      </c>
      <c r="P17">
        <v>50</v>
      </c>
    </row>
    <row r="18" spans="3:16">
      <c r="C18" t="s">
        <v>957</v>
      </c>
      <c r="E18" s="63" t="s">
        <v>972</v>
      </c>
      <c r="F18">
        <v>52</v>
      </c>
      <c r="G18">
        <v>93</v>
      </c>
      <c r="H18">
        <v>88</v>
      </c>
      <c r="I18">
        <v>68</v>
      </c>
      <c r="J18">
        <v>58</v>
      </c>
      <c r="K18">
        <v>48</v>
      </c>
      <c r="L18">
        <v>42</v>
      </c>
      <c r="M18">
        <v>46</v>
      </c>
      <c r="N18">
        <v>52</v>
      </c>
      <c r="O18">
        <v>100</v>
      </c>
      <c r="P18">
        <v>30</v>
      </c>
    </row>
    <row r="19" spans="3:16">
      <c r="C19" t="s">
        <v>958</v>
      </c>
      <c r="E19" s="63" t="s">
        <v>973</v>
      </c>
      <c r="F19">
        <v>88</v>
      </c>
      <c r="G19">
        <v>78</v>
      </c>
      <c r="H19">
        <v>74</v>
      </c>
      <c r="I19">
        <v>92</v>
      </c>
      <c r="J19">
        <v>95</v>
      </c>
      <c r="K19">
        <v>93</v>
      </c>
      <c r="L19">
        <v>88</v>
      </c>
      <c r="M19">
        <v>97</v>
      </c>
      <c r="N19">
        <v>88</v>
      </c>
      <c r="O19">
        <v>100</v>
      </c>
      <c r="P19">
        <v>70</v>
      </c>
    </row>
    <row r="20" spans="3:16">
      <c r="C20" t="s">
        <v>959</v>
      </c>
      <c r="D20">
        <v>72</v>
      </c>
      <c r="E20" s="63" t="s">
        <v>974</v>
      </c>
      <c r="F20" s="14">
        <v>58</v>
      </c>
      <c r="G20" s="14">
        <v>90</v>
      </c>
      <c r="H20" s="14">
        <v>89</v>
      </c>
      <c r="I20" s="14">
        <v>83</v>
      </c>
      <c r="J20" s="14">
        <v>76</v>
      </c>
      <c r="K20" s="14">
        <v>84</v>
      </c>
      <c r="L20" s="14">
        <v>58</v>
      </c>
      <c r="M20" s="14">
        <v>72</v>
      </c>
      <c r="N20" s="14">
        <v>62</v>
      </c>
      <c r="O20">
        <v>100</v>
      </c>
      <c r="P20">
        <v>40</v>
      </c>
    </row>
    <row r="21" spans="3:16">
      <c r="E21" s="63" t="s">
        <v>975</v>
      </c>
      <c r="F21">
        <v>64</v>
      </c>
      <c r="G21">
        <v>96</v>
      </c>
      <c r="H21">
        <v>90</v>
      </c>
      <c r="I21">
        <v>72</v>
      </c>
      <c r="J21">
        <v>66</v>
      </c>
      <c r="K21">
        <v>74</v>
      </c>
      <c r="L21">
        <v>54</v>
      </c>
      <c r="M21">
        <v>58</v>
      </c>
      <c r="N21">
        <v>68</v>
      </c>
      <c r="O21">
        <v>100</v>
      </c>
      <c r="P21">
        <v>40</v>
      </c>
    </row>
    <row r="22" spans="3:16">
      <c r="E22" s="63" t="s">
        <v>944</v>
      </c>
      <c r="F22">
        <v>38</v>
      </c>
      <c r="G22">
        <v>42</v>
      </c>
      <c r="H22">
        <v>58</v>
      </c>
      <c r="I22">
        <v>72</v>
      </c>
      <c r="J22">
        <v>48</v>
      </c>
      <c r="K22">
        <v>22</v>
      </c>
      <c r="L22">
        <v>36</v>
      </c>
      <c r="M22">
        <v>42</v>
      </c>
      <c r="N22">
        <v>58</v>
      </c>
    </row>
    <row r="24" spans="3:16">
      <c r="E24" t="s">
        <v>976</v>
      </c>
      <c r="F24" t="s">
        <v>1000</v>
      </c>
    </row>
    <row r="25" spans="3:16">
      <c r="E25" t="s">
        <v>977</v>
      </c>
      <c r="N25" t="s">
        <v>989</v>
      </c>
      <c r="O25" t="s">
        <v>995</v>
      </c>
    </row>
    <row r="26" spans="3:16">
      <c r="E26" t="s">
        <v>978</v>
      </c>
      <c r="N26" t="s">
        <v>990</v>
      </c>
    </row>
    <row r="27" spans="3:16">
      <c r="E27" t="s">
        <v>979</v>
      </c>
      <c r="F27" t="s">
        <v>1001</v>
      </c>
      <c r="N27" t="s">
        <v>991</v>
      </c>
    </row>
    <row r="28" spans="3:16">
      <c r="E28" t="s">
        <v>980</v>
      </c>
      <c r="N28" t="s">
        <v>992</v>
      </c>
    </row>
    <row r="29" spans="3:16">
      <c r="E29" t="s">
        <v>981</v>
      </c>
      <c r="N29" t="s">
        <v>993</v>
      </c>
    </row>
    <row r="30" spans="3:16">
      <c r="E30" t="s">
        <v>982</v>
      </c>
      <c r="N30" t="s">
        <v>994</v>
      </c>
    </row>
    <row r="34" spans="2:2">
      <c r="B34" t="s">
        <v>997</v>
      </c>
    </row>
    <row r="35" spans="2:2">
      <c r="B35" t="s">
        <v>998</v>
      </c>
    </row>
    <row r="36" spans="2:2">
      <c r="B36" t="s">
        <v>996</v>
      </c>
    </row>
    <row r="37" spans="2:2">
      <c r="B37">
        <v>68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topLeftCell="A8" workbookViewId="0">
      <selection activeCell="F18" sqref="F18"/>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rightToLeft="1" topLeftCell="A14" zoomScale="75" zoomScaleNormal="75" workbookViewId="0">
      <selection activeCell="F19" sqref="F19"/>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767</v>
      </c>
      <c r="C4" s="39" t="s">
        <v>6</v>
      </c>
      <c r="D4" s="9" t="s">
        <v>7</v>
      </c>
      <c r="E4" s="9" t="s">
        <v>59</v>
      </c>
      <c r="F4" s="9" t="s">
        <v>773</v>
      </c>
      <c r="G4" s="9" t="s">
        <v>3</v>
      </c>
      <c r="H4" s="9" t="s">
        <v>4</v>
      </c>
      <c r="I4" s="9" t="s">
        <v>57</v>
      </c>
      <c r="J4" s="9" t="s">
        <v>659</v>
      </c>
      <c r="K4" s="9" t="s">
        <v>0</v>
      </c>
      <c r="L4" s="9" t="s">
        <v>156</v>
      </c>
      <c r="M4" s="9" t="s">
        <v>157</v>
      </c>
      <c r="N4" s="9" t="s">
        <v>105</v>
      </c>
    </row>
    <row r="5" spans="1:14" ht="28.8">
      <c r="A5" s="2" t="s">
        <v>804</v>
      </c>
      <c r="B5" s="2" t="s">
        <v>768</v>
      </c>
      <c r="C5" t="s">
        <v>800</v>
      </c>
      <c r="D5" s="3" t="s">
        <v>761</v>
      </c>
      <c r="E5" s="3"/>
      <c r="F5" s="3"/>
      <c r="G5" s="3"/>
      <c r="H5" s="3"/>
      <c r="I5" s="2"/>
      <c r="J5" s="2"/>
      <c r="K5" s="21"/>
    </row>
    <row r="6" spans="1:14" ht="28.8">
      <c r="A6" s="2" t="s">
        <v>804</v>
      </c>
      <c r="B6" s="2" t="s">
        <v>768</v>
      </c>
      <c r="C6" t="s">
        <v>753</v>
      </c>
      <c r="D6" s="3" t="s">
        <v>760</v>
      </c>
      <c r="E6" s="3"/>
      <c r="F6" s="3"/>
      <c r="G6" s="3"/>
      <c r="H6" s="3"/>
      <c r="I6" s="2"/>
      <c r="J6" s="2"/>
      <c r="K6" s="21"/>
    </row>
    <row r="7" spans="1:14" ht="28.8">
      <c r="A7" s="2" t="s">
        <v>804</v>
      </c>
      <c r="B7" s="2" t="s">
        <v>768</v>
      </c>
      <c r="C7" t="s">
        <v>754</v>
      </c>
      <c r="D7" s="3" t="s">
        <v>759</v>
      </c>
      <c r="E7" s="3"/>
      <c r="F7" s="3"/>
      <c r="G7" s="3"/>
      <c r="H7" s="3"/>
      <c r="I7" s="2"/>
      <c r="J7" s="2"/>
      <c r="K7" s="21"/>
    </row>
    <row r="8" spans="1:14" ht="28.8">
      <c r="A8" s="2" t="s">
        <v>804</v>
      </c>
      <c r="B8" s="2" t="s">
        <v>768</v>
      </c>
      <c r="C8" t="s">
        <v>801</v>
      </c>
      <c r="D8" s="3" t="s">
        <v>755</v>
      </c>
      <c r="E8" s="3"/>
      <c r="F8" s="3"/>
      <c r="G8" s="3"/>
      <c r="H8" s="3"/>
      <c r="J8" s="2"/>
    </row>
    <row r="9" spans="1:14" ht="28.8">
      <c r="A9" s="2" t="s">
        <v>804</v>
      </c>
      <c r="B9" s="2" t="s">
        <v>768</v>
      </c>
      <c r="C9" s="2" t="s">
        <v>802</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768</v>
      </c>
      <c r="C12" s="2" t="s">
        <v>805</v>
      </c>
      <c r="D12" s="3" t="s">
        <v>803</v>
      </c>
      <c r="E12" s="3"/>
      <c r="F12" s="3"/>
      <c r="G12" s="3"/>
      <c r="H12" s="3"/>
      <c r="J12" s="2"/>
    </row>
    <row r="13" spans="1:14" ht="28.8">
      <c r="A13" s="2" t="s">
        <v>715</v>
      </c>
      <c r="B13" s="2" t="s">
        <v>768</v>
      </c>
      <c r="C13" s="2" t="s">
        <v>763</v>
      </c>
      <c r="D13" s="3" t="s">
        <v>756</v>
      </c>
      <c r="E13" s="3"/>
      <c r="F13" s="3"/>
      <c r="G13" s="3"/>
      <c r="H13" s="3"/>
      <c r="J13" s="2"/>
    </row>
    <row r="14" spans="1:14" ht="331.2">
      <c r="A14" s="2" t="s">
        <v>715</v>
      </c>
      <c r="B14" s="2" t="s">
        <v>768</v>
      </c>
      <c r="C14" s="2" t="s">
        <v>762</v>
      </c>
      <c r="D14" s="3" t="s">
        <v>436</v>
      </c>
      <c r="E14" s="3" t="s">
        <v>795</v>
      </c>
      <c r="F14" s="3"/>
      <c r="G14" s="3"/>
      <c r="H14" s="3"/>
      <c r="J14" s="2"/>
      <c r="K14" s="5"/>
    </row>
    <row r="15" spans="1:14" ht="28.8">
      <c r="A15" s="2" t="s">
        <v>764</v>
      </c>
      <c r="B15" s="3" t="s">
        <v>766</v>
      </c>
      <c r="C15" s="2" t="s">
        <v>1013</v>
      </c>
      <c r="D15" s="2" t="s">
        <v>765</v>
      </c>
      <c r="E15" s="3"/>
      <c r="F15" s="3"/>
      <c r="G15" s="3"/>
      <c r="H15" s="3"/>
      <c r="J15" s="2"/>
    </row>
    <row r="16" spans="1:14" ht="28.8">
      <c r="A16" s="2" t="s">
        <v>764</v>
      </c>
      <c r="B16" s="3" t="s">
        <v>766</v>
      </c>
      <c r="C16" s="2" t="s">
        <v>1009</v>
      </c>
      <c r="D16" s="2" t="s">
        <v>1010</v>
      </c>
      <c r="E16" s="3"/>
      <c r="F16" s="3"/>
      <c r="G16" s="3"/>
      <c r="H16" s="3"/>
      <c r="J16" s="2"/>
    </row>
    <row r="17" spans="1:11" ht="27.6">
      <c r="A17" s="2" t="s">
        <v>764</v>
      </c>
      <c r="B17" s="3" t="s">
        <v>766</v>
      </c>
      <c r="C17" t="s">
        <v>1011</v>
      </c>
      <c r="D17" s="2" t="s">
        <v>1012</v>
      </c>
      <c r="E17" s="3"/>
      <c r="F17" s="3"/>
      <c r="G17" s="3"/>
      <c r="H17" s="2"/>
      <c r="J17" s="2"/>
    </row>
    <row r="18" spans="1:11" ht="27.6">
      <c r="A18" s="2" t="s">
        <v>764</v>
      </c>
      <c r="B18" s="3" t="s">
        <v>766</v>
      </c>
      <c r="C18" t="s">
        <v>1014</v>
      </c>
      <c r="D18" s="3" t="s">
        <v>1015</v>
      </c>
      <c r="E18" s="3"/>
      <c r="F18" s="3"/>
      <c r="G18" s="3"/>
      <c r="H18" s="2"/>
      <c r="J18" s="2"/>
    </row>
    <row r="19" spans="1:11">
      <c r="A19" s="2" t="s">
        <v>764</v>
      </c>
      <c r="B19" s="3" t="s">
        <v>775</v>
      </c>
      <c r="C19" t="s">
        <v>784</v>
      </c>
      <c r="D19" s="3" t="s">
        <v>702</v>
      </c>
      <c r="E19" s="3"/>
      <c r="F19" s="3"/>
      <c r="G19" s="3"/>
      <c r="H19" s="3"/>
      <c r="K19" s="34"/>
    </row>
    <row r="20" spans="1:11" ht="27.6">
      <c r="A20" s="2" t="s">
        <v>764</v>
      </c>
      <c r="B20" s="3" t="s">
        <v>766</v>
      </c>
      <c r="C20" t="s">
        <v>1008</v>
      </c>
      <c r="D20" s="3" t="s">
        <v>22</v>
      </c>
      <c r="E20" s="3"/>
      <c r="F20" s="3"/>
      <c r="G20" s="3"/>
      <c r="H20" s="3"/>
      <c r="K20" s="34"/>
    </row>
    <row r="21" spans="1:11">
      <c r="A21" s="2" t="s">
        <v>693</v>
      </c>
      <c r="B21" s="3" t="s">
        <v>769</v>
      </c>
      <c r="C21" s="2" t="s">
        <v>696</v>
      </c>
      <c r="D21" s="3" t="s">
        <v>697</v>
      </c>
      <c r="E21" s="3"/>
      <c r="F21" s="3"/>
      <c r="G21" s="3"/>
      <c r="H21" s="2"/>
      <c r="J21" s="2"/>
    </row>
    <row r="22" spans="1:11" ht="28.8">
      <c r="A22" s="2" t="s">
        <v>693</v>
      </c>
      <c r="B22" s="3" t="s">
        <v>769</v>
      </c>
      <c r="C22" s="2" t="s">
        <v>717</v>
      </c>
      <c r="D22" s="3" t="s">
        <v>643</v>
      </c>
      <c r="E22" s="3"/>
      <c r="F22" s="3"/>
      <c r="G22" s="3"/>
      <c r="H22" s="2"/>
      <c r="J22" s="2"/>
    </row>
    <row r="23" spans="1:11">
      <c r="A23" s="2" t="s">
        <v>693</v>
      </c>
      <c r="B23" s="3" t="s">
        <v>769</v>
      </c>
      <c r="C23" t="s">
        <v>716</v>
      </c>
      <c r="D23" s="3" t="s">
        <v>644</v>
      </c>
      <c r="E23" s="3"/>
      <c r="F23" s="3" t="s">
        <v>426</v>
      </c>
      <c r="G23" s="3"/>
      <c r="H23" s="2"/>
      <c r="J23" s="2"/>
    </row>
    <row r="24" spans="1:11">
      <c r="A24" s="2" t="s">
        <v>693</v>
      </c>
      <c r="B24" s="3" t="s">
        <v>769</v>
      </c>
      <c r="C24" t="s">
        <v>718</v>
      </c>
      <c r="D24" s="3" t="s">
        <v>719</v>
      </c>
      <c r="E24" s="3"/>
      <c r="F24" s="3" t="s">
        <v>426</v>
      </c>
      <c r="G24" s="3"/>
      <c r="H24" s="2"/>
      <c r="J24" s="2"/>
    </row>
    <row r="25" spans="1:11">
      <c r="A25" s="2" t="s">
        <v>693</v>
      </c>
      <c r="B25" s="3" t="s">
        <v>769</v>
      </c>
      <c r="C25" t="s">
        <v>720</v>
      </c>
      <c r="D25" s="3" t="s">
        <v>721</v>
      </c>
      <c r="E25" s="3"/>
      <c r="F25" s="3"/>
      <c r="G25" s="3"/>
      <c r="H25" s="2"/>
      <c r="J25" s="2"/>
    </row>
    <row r="26" spans="1:11">
      <c r="A26" s="2" t="s">
        <v>771</v>
      </c>
      <c r="B26" s="3" t="s">
        <v>770</v>
      </c>
      <c r="C26" s="56" t="s">
        <v>723</v>
      </c>
      <c r="D26" s="2" t="s">
        <v>724</v>
      </c>
      <c r="E26" s="56" t="s">
        <v>731</v>
      </c>
      <c r="F26" s="56" t="s">
        <v>425</v>
      </c>
      <c r="G26" s="3"/>
      <c r="H26" s="2"/>
      <c r="J26" s="2"/>
    </row>
    <row r="27" spans="1:11">
      <c r="A27" s="2" t="s">
        <v>771</v>
      </c>
      <c r="B27" s="3" t="s">
        <v>770</v>
      </c>
      <c r="C27" s="56" t="s">
        <v>725</v>
      </c>
      <c r="D27" s="2" t="s">
        <v>726</v>
      </c>
      <c r="E27" s="56" t="s">
        <v>730</v>
      </c>
      <c r="F27" s="56"/>
      <c r="G27" s="3"/>
      <c r="J27" s="2"/>
    </row>
    <row r="28" spans="1:11">
      <c r="A28" s="2" t="s">
        <v>771</v>
      </c>
      <c r="B28" s="3" t="s">
        <v>770</v>
      </c>
      <c r="C28" s="56" t="s">
        <v>727</v>
      </c>
      <c r="D28" s="3" t="s">
        <v>728</v>
      </c>
      <c r="E28" s="56" t="s">
        <v>729</v>
      </c>
      <c r="F28" s="56"/>
      <c r="G28" s="3"/>
    </row>
    <row r="29" spans="1:11">
      <c r="A29" s="2" t="s">
        <v>771</v>
      </c>
      <c r="B29" s="3" t="s">
        <v>770</v>
      </c>
      <c r="C29" s="56" t="s">
        <v>732</v>
      </c>
      <c r="D29" s="3" t="s">
        <v>734</v>
      </c>
      <c r="E29" s="56" t="s">
        <v>737</v>
      </c>
      <c r="F29" s="56"/>
      <c r="G29" s="3"/>
    </row>
    <row r="30" spans="1:11">
      <c r="A30" s="2" t="s">
        <v>771</v>
      </c>
      <c r="B30" s="3" t="s">
        <v>770</v>
      </c>
      <c r="C30" s="56" t="s">
        <v>733</v>
      </c>
      <c r="D30" s="3" t="s">
        <v>735</v>
      </c>
      <c r="E30" s="56" t="s">
        <v>736</v>
      </c>
      <c r="F30" s="56"/>
      <c r="G30" s="3"/>
    </row>
    <row r="31" spans="1:11">
      <c r="A31" s="2" t="s">
        <v>771</v>
      </c>
      <c r="B31" s="3" t="s">
        <v>770</v>
      </c>
      <c r="C31" s="56" t="s">
        <v>738</v>
      </c>
      <c r="D31" s="3" t="s">
        <v>750</v>
      </c>
      <c r="E31" s="56" t="s">
        <v>739</v>
      </c>
      <c r="F31" s="56"/>
      <c r="G31" s="3"/>
    </row>
    <row r="32" spans="1:11">
      <c r="A32" s="2" t="s">
        <v>771</v>
      </c>
      <c r="B32" s="3" t="s">
        <v>770</v>
      </c>
      <c r="C32" s="56" t="s">
        <v>544</v>
      </c>
      <c r="D32" s="3" t="s">
        <v>543</v>
      </c>
      <c r="E32" s="56" t="s">
        <v>740</v>
      </c>
      <c r="F32" s="56"/>
      <c r="G32" s="3"/>
      <c r="H32" s="3"/>
      <c r="J32" s="2"/>
    </row>
    <row r="33" spans="1:11">
      <c r="A33" s="2" t="s">
        <v>771</v>
      </c>
      <c r="B33" s="3" t="s">
        <v>770</v>
      </c>
      <c r="C33" s="56" t="s">
        <v>743</v>
      </c>
      <c r="D33" s="3" t="s">
        <v>742</v>
      </c>
      <c r="E33" s="56" t="s">
        <v>741</v>
      </c>
      <c r="F33" s="56"/>
      <c r="G33" s="3"/>
    </row>
    <row r="34" spans="1:11">
      <c r="A34" s="2" t="s">
        <v>771</v>
      </c>
      <c r="B34" s="3" t="s">
        <v>770</v>
      </c>
      <c r="C34" s="56" t="s">
        <v>744</v>
      </c>
      <c r="D34" s="3" t="s">
        <v>745</v>
      </c>
      <c r="E34" s="56" t="s">
        <v>748</v>
      </c>
      <c r="F34" s="56"/>
      <c r="G34" s="3"/>
    </row>
    <row r="35" spans="1:11">
      <c r="A35" s="2" t="s">
        <v>771</v>
      </c>
      <c r="B35" s="3" t="s">
        <v>770</v>
      </c>
      <c r="C35" s="56" t="s">
        <v>746</v>
      </c>
      <c r="D35" s="3" t="s">
        <v>747</v>
      </c>
      <c r="E35" s="56" t="s">
        <v>749</v>
      </c>
      <c r="F35" s="56"/>
      <c r="G35" s="3"/>
    </row>
    <row r="36" spans="1:11">
      <c r="A36" s="2" t="s">
        <v>771</v>
      </c>
      <c r="B36" s="3" t="s">
        <v>770</v>
      </c>
      <c r="C36" s="56" t="s">
        <v>751</v>
      </c>
      <c r="D36" s="3" t="s">
        <v>752</v>
      </c>
      <c r="G36" s="3"/>
    </row>
    <row r="37" spans="1:11" ht="28.8">
      <c r="A37" s="2" t="s">
        <v>426</v>
      </c>
      <c r="B37" s="3" t="s">
        <v>772</v>
      </c>
      <c r="C37" s="49" t="s">
        <v>432</v>
      </c>
      <c r="D37" s="3" t="s">
        <v>414</v>
      </c>
      <c r="E37" s="3"/>
      <c r="F37" s="3"/>
      <c r="G37" s="3"/>
    </row>
    <row r="38" spans="1:11" ht="220.8">
      <c r="A38" s="2" t="s">
        <v>426</v>
      </c>
      <c r="B38" s="3" t="s">
        <v>772</v>
      </c>
      <c r="C38" s="2" t="s">
        <v>30</v>
      </c>
      <c r="D38" s="3" t="s">
        <v>29</v>
      </c>
      <c r="E38" s="3" t="s">
        <v>798</v>
      </c>
      <c r="F38" s="3"/>
      <c r="G38" s="3"/>
    </row>
    <row r="39" spans="1:11" ht="28.8">
      <c r="A39" s="2" t="s">
        <v>426</v>
      </c>
      <c r="B39" s="3" t="s">
        <v>772</v>
      </c>
      <c r="C39" s="2" t="s">
        <v>563</v>
      </c>
      <c r="D39" s="3" t="s">
        <v>57</v>
      </c>
      <c r="E39" s="3" t="s">
        <v>564</v>
      </c>
      <c r="F39" s="3"/>
      <c r="G39" s="3"/>
      <c r="H39" s="3"/>
      <c r="J39" s="2"/>
    </row>
    <row r="40" spans="1:11" ht="28.8">
      <c r="A40" s="2" t="s">
        <v>426</v>
      </c>
      <c r="B40" s="3" t="s">
        <v>772</v>
      </c>
      <c r="C40" s="2" t="s">
        <v>36</v>
      </c>
      <c r="D40" s="3" t="s">
        <v>37</v>
      </c>
      <c r="E40" s="3"/>
      <c r="F40" s="3"/>
      <c r="G40" s="3"/>
      <c r="H40" s="3"/>
    </row>
    <row r="41" spans="1:11" ht="28.8">
      <c r="A41" s="2" t="s">
        <v>426</v>
      </c>
      <c r="B41" s="3" t="s">
        <v>772</v>
      </c>
      <c r="C41" s="2" t="s">
        <v>38</v>
      </c>
      <c r="D41" s="3" t="s">
        <v>39</v>
      </c>
      <c r="E41" s="3"/>
      <c r="F41" s="3"/>
      <c r="G41" s="3"/>
      <c r="H41" s="3"/>
      <c r="J41" s="19"/>
      <c r="K41" s="3"/>
    </row>
    <row r="42" spans="1:11" ht="28.8">
      <c r="A42" s="2" t="s">
        <v>426</v>
      </c>
      <c r="B42" s="3" t="s">
        <v>772</v>
      </c>
      <c r="C42" t="s">
        <v>664</v>
      </c>
      <c r="D42" s="3" t="s">
        <v>705</v>
      </c>
      <c r="E42" s="3"/>
      <c r="F42" s="3"/>
      <c r="G42" s="3"/>
      <c r="H42" s="3"/>
      <c r="K42" s="34"/>
    </row>
    <row r="43" spans="1:11" ht="179.4">
      <c r="A43" s="40" t="s">
        <v>426</v>
      </c>
      <c r="B43" s="37" t="s">
        <v>772</v>
      </c>
      <c r="C43" s="38" t="s">
        <v>796</v>
      </c>
      <c r="D43" s="37" t="s">
        <v>12</v>
      </c>
      <c r="E43" s="37" t="s">
        <v>797</v>
      </c>
      <c r="F43" s="3"/>
      <c r="G43" s="3"/>
      <c r="H43" s="3"/>
      <c r="K43" s="34"/>
    </row>
    <row r="44" spans="1:11">
      <c r="A44" s="2" t="s">
        <v>425</v>
      </c>
      <c r="B44" s="3" t="s">
        <v>775</v>
      </c>
      <c r="C44" s="49" t="s">
        <v>431</v>
      </c>
      <c r="D44" s="48" t="s">
        <v>545</v>
      </c>
      <c r="E44" s="17"/>
      <c r="H44" s="3"/>
    </row>
    <row r="45" spans="1:11">
      <c r="A45" s="2" t="s">
        <v>425</v>
      </c>
      <c r="B45" s="3" t="s">
        <v>775</v>
      </c>
      <c r="C45" s="49" t="s">
        <v>550</v>
      </c>
      <c r="D45" s="3" t="s">
        <v>551</v>
      </c>
    </row>
    <row r="46" spans="1:11">
      <c r="A46" s="2" t="s">
        <v>425</v>
      </c>
      <c r="B46" s="3" t="s">
        <v>775</v>
      </c>
      <c r="C46" t="s">
        <v>557</v>
      </c>
      <c r="D46" s="3" t="s">
        <v>384</v>
      </c>
    </row>
    <row r="47" spans="1:11">
      <c r="A47" s="2" t="s">
        <v>425</v>
      </c>
      <c r="B47" s="3" t="s">
        <v>775</v>
      </c>
      <c r="C47" s="2" t="s">
        <v>44</v>
      </c>
      <c r="D47" s="3" t="s">
        <v>350</v>
      </c>
      <c r="E47" s="3"/>
      <c r="F47" s="3"/>
      <c r="G47" s="3"/>
      <c r="H47" s="3"/>
      <c r="I47" s="3"/>
      <c r="J47" s="3"/>
      <c r="K47" s="3"/>
    </row>
    <row r="48" spans="1:11" ht="28.8">
      <c r="A48" s="2" t="s">
        <v>425</v>
      </c>
      <c r="B48" s="3" t="s">
        <v>775</v>
      </c>
      <c r="C48" s="2" t="s">
        <v>559</v>
      </c>
      <c r="D48" s="3" t="s">
        <v>558</v>
      </c>
      <c r="E48" s="3"/>
      <c r="F48" s="3"/>
      <c r="G48" s="3"/>
      <c r="H48" s="3"/>
    </row>
    <row r="49" spans="1:10">
      <c r="A49" s="2" t="s">
        <v>425</v>
      </c>
      <c r="B49" s="3" t="s">
        <v>775</v>
      </c>
      <c r="C49" s="49" t="s">
        <v>42</v>
      </c>
      <c r="D49" s="3" t="s">
        <v>43</v>
      </c>
      <c r="E49" s="3"/>
      <c r="F49" s="3"/>
      <c r="G49" s="3"/>
      <c r="H49" s="3"/>
      <c r="J49" s="2"/>
    </row>
    <row r="50" spans="1:10">
      <c r="A50" s="2" t="s">
        <v>425</v>
      </c>
      <c r="B50" s="3" t="s">
        <v>775</v>
      </c>
      <c r="C50" s="2" t="s">
        <v>31</v>
      </c>
      <c r="D50" s="3" t="s">
        <v>32</v>
      </c>
      <c r="E50" s="3"/>
      <c r="F50" s="3"/>
      <c r="G50" s="3"/>
      <c r="H50" s="3"/>
      <c r="J50" s="2"/>
    </row>
    <row r="51" spans="1:10">
      <c r="A51" s="2" t="s">
        <v>425</v>
      </c>
      <c r="B51" s="3" t="s">
        <v>775</v>
      </c>
      <c r="C51" s="2" t="s">
        <v>776</v>
      </c>
      <c r="D51" s="3" t="s">
        <v>567</v>
      </c>
      <c r="E51" s="3"/>
      <c r="F51" s="17"/>
      <c r="G51" s="3"/>
      <c r="H51" s="2"/>
    </row>
    <row r="52" spans="1:10">
      <c r="A52" s="2" t="s">
        <v>425</v>
      </c>
      <c r="B52" s="3" t="s">
        <v>775</v>
      </c>
      <c r="C52" s="2" t="s">
        <v>777</v>
      </c>
      <c r="D52" s="3" t="s">
        <v>568</v>
      </c>
    </row>
    <row r="53" spans="1:10">
      <c r="A53" s="2" t="s">
        <v>425</v>
      </c>
      <c r="B53" s="3" t="s">
        <v>775</v>
      </c>
      <c r="C53" s="49" t="s">
        <v>774</v>
      </c>
      <c r="D53" s="3" t="s">
        <v>35</v>
      </c>
    </row>
    <row r="54" spans="1:10">
      <c r="A54" s="2" t="s">
        <v>425</v>
      </c>
      <c r="B54" s="3" t="s">
        <v>775</v>
      </c>
      <c r="C54" s="2" t="s">
        <v>16</v>
      </c>
      <c r="D54" t="s">
        <v>778</v>
      </c>
    </row>
    <row r="55" spans="1:10">
      <c r="A55" s="2" t="s">
        <v>425</v>
      </c>
      <c r="B55" s="3" t="s">
        <v>775</v>
      </c>
      <c r="C55" s="2" t="s">
        <v>27</v>
      </c>
      <c r="D55" s="3" t="s">
        <v>785</v>
      </c>
    </row>
    <row r="56" spans="1:10">
      <c r="A56" s="2" t="s">
        <v>425</v>
      </c>
      <c r="B56" s="3" t="s">
        <v>775</v>
      </c>
      <c r="C56" s="2"/>
      <c r="D56" s="17" t="s">
        <v>799</v>
      </c>
    </row>
    <row r="57" spans="1:10" ht="69">
      <c r="A57" s="2" t="s">
        <v>425</v>
      </c>
      <c r="B57" s="3" t="s">
        <v>775</v>
      </c>
      <c r="C57" s="38"/>
      <c r="D57" s="3" t="s">
        <v>383</v>
      </c>
      <c r="E57" s="3" t="s">
        <v>780</v>
      </c>
    </row>
    <row r="58" spans="1:10" ht="69">
      <c r="A58" s="2" t="s">
        <v>425</v>
      </c>
      <c r="B58" s="3" t="s">
        <v>775</v>
      </c>
      <c r="C58" s="38"/>
      <c r="D58" s="3" t="s">
        <v>422</v>
      </c>
      <c r="E58" s="3" t="s">
        <v>781</v>
      </c>
    </row>
    <row r="59" spans="1:10" ht="27.6">
      <c r="A59" s="2" t="s">
        <v>425</v>
      </c>
      <c r="B59" s="3" t="s">
        <v>775</v>
      </c>
      <c r="C59" s="38"/>
      <c r="D59" s="3" t="s">
        <v>334</v>
      </c>
      <c r="E59" s="3" t="s">
        <v>782</v>
      </c>
    </row>
    <row r="60" spans="1:10" ht="82.8">
      <c r="A60" s="2" t="s">
        <v>425</v>
      </c>
      <c r="B60" s="3" t="s">
        <v>775</v>
      </c>
      <c r="D60" s="33" t="s">
        <v>387</v>
      </c>
      <c r="E60" s="33" t="s">
        <v>783</v>
      </c>
    </row>
    <row r="61" spans="1:10">
      <c r="A61" s="2" t="s">
        <v>867</v>
      </c>
      <c r="B61" s="3" t="s">
        <v>860</v>
      </c>
      <c r="C61" t="s">
        <v>861</v>
      </c>
      <c r="D61" s="38" t="s">
        <v>868</v>
      </c>
    </row>
    <row r="62" spans="1:10">
      <c r="A62" s="2" t="s">
        <v>867</v>
      </c>
      <c r="B62" s="3" t="s">
        <v>860</v>
      </c>
      <c r="C62" t="s">
        <v>862</v>
      </c>
      <c r="D62" s="38" t="s">
        <v>873</v>
      </c>
    </row>
    <row r="63" spans="1:10">
      <c r="A63" s="2" t="s">
        <v>867</v>
      </c>
      <c r="B63" s="3" t="s">
        <v>860</v>
      </c>
      <c r="C63" t="s">
        <v>863</v>
      </c>
      <c r="D63" s="38" t="s">
        <v>871</v>
      </c>
    </row>
    <row r="64" spans="1:10">
      <c r="A64" s="2" t="s">
        <v>867</v>
      </c>
      <c r="B64" s="3" t="s">
        <v>860</v>
      </c>
      <c r="C64" t="s">
        <v>864</v>
      </c>
      <c r="D64" s="38" t="s">
        <v>872</v>
      </c>
    </row>
    <row r="65" spans="1:5">
      <c r="A65" s="2" t="s">
        <v>867</v>
      </c>
      <c r="B65" s="3" t="s">
        <v>860</v>
      </c>
      <c r="C65" t="s">
        <v>865</v>
      </c>
      <c r="D65" s="38" t="s">
        <v>869</v>
      </c>
    </row>
    <row r="66" spans="1:5">
      <c r="A66" s="2" t="s">
        <v>867</v>
      </c>
      <c r="B66" s="3" t="s">
        <v>860</v>
      </c>
      <c r="C66" t="s">
        <v>866</v>
      </c>
      <c r="D66" s="38" t="s">
        <v>870</v>
      </c>
    </row>
    <row r="67" spans="1:5">
      <c r="A67" s="2" t="s">
        <v>430</v>
      </c>
      <c r="B67" s="3" t="s">
        <v>786</v>
      </c>
      <c r="C67" s="2" t="s">
        <v>46</v>
      </c>
      <c r="D67" s="3" t="s">
        <v>45</v>
      </c>
    </row>
    <row r="68" spans="1:5">
      <c r="A68" s="2" t="s">
        <v>430</v>
      </c>
      <c r="B68" s="3" t="s">
        <v>786</v>
      </c>
      <c r="C68" t="s">
        <v>787</v>
      </c>
      <c r="D68" t="s">
        <v>333</v>
      </c>
    </row>
    <row r="69" spans="1:5" ht="28.8">
      <c r="A69" s="2" t="s">
        <v>430</v>
      </c>
      <c r="B69" s="3" t="s">
        <v>786</v>
      </c>
      <c r="C69" s="2" t="s">
        <v>560</v>
      </c>
      <c r="D69" s="3" t="s">
        <v>561</v>
      </c>
    </row>
    <row r="70" spans="1:5" ht="28.8">
      <c r="A70" s="2" t="s">
        <v>430</v>
      </c>
      <c r="B70" s="3" t="s">
        <v>786</v>
      </c>
      <c r="C70" s="2" t="s">
        <v>48</v>
      </c>
      <c r="D70" s="3" t="s">
        <v>49</v>
      </c>
      <c r="E70" s="5" t="s">
        <v>779</v>
      </c>
    </row>
    <row r="71" spans="1:5" ht="82.8">
      <c r="A71" s="2" t="s">
        <v>430</v>
      </c>
      <c r="B71" s="3" t="s">
        <v>786</v>
      </c>
      <c r="C71" s="2" t="s">
        <v>788</v>
      </c>
      <c r="D71" s="3" t="s">
        <v>56</v>
      </c>
      <c r="E71" s="3" t="s">
        <v>790</v>
      </c>
    </row>
    <row r="72" spans="1:5" ht="69">
      <c r="A72" s="2" t="s">
        <v>430</v>
      </c>
      <c r="B72" s="3" t="s">
        <v>786</v>
      </c>
      <c r="C72" s="2" t="s">
        <v>789</v>
      </c>
      <c r="D72" s="3" t="s">
        <v>114</v>
      </c>
      <c r="E72" s="3" t="s">
        <v>791</v>
      </c>
    </row>
    <row r="73" spans="1:5" ht="55.2">
      <c r="A73" s="2" t="s">
        <v>430</v>
      </c>
      <c r="B73" s="3" t="s">
        <v>786</v>
      </c>
      <c r="C73" s="2" t="s">
        <v>793</v>
      </c>
      <c r="D73" s="3" t="s">
        <v>541</v>
      </c>
      <c r="E73" s="3" t="s">
        <v>792</v>
      </c>
    </row>
    <row r="74" spans="1:5" ht="409.6">
      <c r="A74" s="2" t="s">
        <v>430</v>
      </c>
      <c r="B74" s="3" t="s">
        <v>786</v>
      </c>
      <c r="C74" s="2" t="s">
        <v>794</v>
      </c>
      <c r="D74" s="3" t="s">
        <v>699</v>
      </c>
      <c r="E74" s="3" t="s">
        <v>700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E7" sqref="E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774</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D8*F8*G8</f>
        <v>400</v>
      </c>
    </row>
    <row r="9" spans="1:9">
      <c r="A9" t="s">
        <v>133</v>
      </c>
      <c r="B9" t="s">
        <v>195</v>
      </c>
      <c r="C9" t="s">
        <v>196</v>
      </c>
      <c r="D9">
        <v>50</v>
      </c>
      <c r="E9" t="s">
        <v>196</v>
      </c>
      <c r="F9">
        <v>0.8</v>
      </c>
      <c r="G9">
        <v>10</v>
      </c>
      <c r="H9">
        <f>F9*D9</f>
        <v>40</v>
      </c>
      <c r="I9">
        <f>D9*F9*G9</f>
        <v>400</v>
      </c>
    </row>
    <row r="10" spans="1:9">
      <c r="A10" t="s">
        <v>192</v>
      </c>
      <c r="B10" t="s">
        <v>193</v>
      </c>
      <c r="C10" t="s">
        <v>199</v>
      </c>
      <c r="D10">
        <v>80</v>
      </c>
      <c r="E10" t="s">
        <v>199</v>
      </c>
      <c r="F10">
        <v>0.5</v>
      </c>
      <c r="G10">
        <v>10</v>
      </c>
      <c r="H10">
        <f>F10*D10</f>
        <v>40</v>
      </c>
      <c r="I10">
        <f>D10*F10*G10</f>
        <v>400</v>
      </c>
    </row>
    <row r="11" spans="1:9">
      <c r="A11" t="s">
        <v>134</v>
      </c>
      <c r="B11" t="s">
        <v>195</v>
      </c>
      <c r="C11" t="s">
        <v>197</v>
      </c>
      <c r="D11">
        <v>30</v>
      </c>
      <c r="E11" t="s">
        <v>198</v>
      </c>
      <c r="F11">
        <v>0.6</v>
      </c>
      <c r="G11">
        <v>0</v>
      </c>
      <c r="H11">
        <f>F11*D11</f>
        <v>18</v>
      </c>
      <c r="I11">
        <f>D11*F11*G11</f>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UX MVP Tasks</vt:lpstr>
      <vt:lpstr>MVP Guidline</vt:lpstr>
      <vt:lpstr>Important details</vt:lpstr>
      <vt:lpstr>Tasks Guidline</vt:lpstr>
      <vt:lpstr>Current Tasks</vt:lpstr>
      <vt:lpstr>Analyzer Tasks</vt:lpstr>
      <vt:lpstr>פירוט מודל מנתח</vt:lpstr>
      <vt:lpstr>external traits analyze</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2026-06-10T07:18:03Z</dcterms:modified>
</cp:coreProperties>
</file>