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7A9937C9-878E-421E-A58D-E547D96BEF36}" xr6:coauthVersionLast="47" xr6:coauthVersionMax="47" xr10:uidLastSave="{00000000-0000-0000-0000-000000000000}"/>
  <bookViews>
    <workbookView xWindow="-96" yWindow="-96" windowWidth="23232" windowHeight="12432" activeTab="2" xr2:uid="{00000000-000D-0000-FFFF-FFFF00000000}"/>
  </bookViews>
  <sheets>
    <sheet name="My Tasks" sheetId="12" r:id="rId1"/>
    <sheet name="פרטי משתמש" sheetId="3" r:id="rId2"/>
    <sheet name="מאפיינים - כללי" sheetId="1" r:id="rId3"/>
    <sheet name="מאפיינים חיצוניים - כללי" sheetId="5" r:id="rId4"/>
    <sheet name="משתמש - מאפיינים" sheetId="2" r:id="rId5"/>
    <sheet name="בניית ציונים" sheetId="9" r:id="rId6"/>
    <sheet name="אלגוריתם ציון פנימי" sheetId="4" r:id="rId7"/>
    <sheet name="אלגוריתם ציון חיצוני" sheetId="6" r:id="rId8"/>
    <sheet name="אלגוריתם שידוכים" sheetId="7" r:id="rId9"/>
    <sheet name="טופס הזנה" sheetId="8" r:id="rId10"/>
    <sheet name="טבלאות דאטה" sheetId="11" r:id="rId11"/>
    <sheet name="שאלות עבור הAI" sheetId="10" r:id="rId1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<sst xmlns="http://schemas.openxmlformats.org/spreadsheetml/2006/main" count="713" uniqueCount="482">
  <si>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</si>
  <si>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</si>
  <si>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</si>
  <si>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</si>
  <si>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</si>
  <si>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</si>
  <si>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</si>
  <si>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</si>
  <si>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</si>
  <si>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</si>
  <si>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</si>
  <si>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</si>
  <si>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</si>
  <si>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</si>
  <si>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</si>
  <si>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</si>
  <si>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</si>
  <si>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</si>
  <si>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</si>
  <si>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</si>
  <si>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</si>
  <si>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</si>
  <si>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</si>
  <si>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</si>
  <si>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</si>
  <si>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נטייה אנליטית</t>
  </si>
  <si>
    <t>analytical_tendency</t>
  </si>
  <si>
    <t>אנליטיות</t>
  </si>
  <si>
    <t>רצינות כלפי החיים</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</si>
  <si>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</si>
  <si>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</si>
  <si>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</si>
  <si>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</si>
  <si>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</si>
  <si>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</si>
  <si>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</si>
  <si>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</si>
  <si>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</si>
  <si>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</si>
  <si>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</si>
  <si>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</si>
  <si>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</si>
  <si>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</si>
  <si>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גישה חיובית</t>
  </si>
  <si>
    <t>Positivity</t>
  </si>
  <si>
    <t>חיוביות</t>
  </si>
  <si>
    <t>לבביות וחום אנושי</t>
  </si>
  <si>
    <t>Warmth</t>
  </si>
  <si>
    <t>לבביות</t>
  </si>
  <si>
    <t>openness</t>
  </si>
  <si>
    <t>פתיחות</t>
  </si>
  <si>
    <t>Childishness</t>
  </si>
  <si>
    <t>ילדותיות</t>
  </si>
  <si>
    <t>value_rigidity</t>
  </si>
  <si>
    <t>אהבה לבעלי חיים</t>
  </si>
  <si>
    <t>loves_animals</t>
  </si>
  <si>
    <t>שימוש פנימי</t>
  </si>
  <si>
    <t>רגישות למראה חיצוני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</si>
  <si>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</si>
  <si>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</si>
  <si>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</si>
  <si>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</si>
  <si>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</si>
  <si>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</si>
  <si>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</si>
  <si>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</si>
  <si>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</si>
  <si>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</si>
  <si>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</si>
  <si>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</si>
  <si>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</si>
  <si>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</si>
  <si>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</si>
  <si>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</si>
  <si>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</si>
  <si>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</si>
  <si>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</si>
  <si>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</si>
  <si>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</si>
  <si>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</si>
  <si>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</si>
  <si>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</si>
  <si>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</si>
  <si>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</si>
  <si>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</si>
  <si>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</si>
  <si>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</si>
  <si>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</si>
  <si>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</si>
  <si>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</si>
  <si>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</si>
  <si>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</si>
  <si>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</si>
  <si>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</si>
  <si>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</si>
  <si>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</si>
  <si>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</si>
  <si>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</si>
  <si>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</si>
  <si>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</si>
  <si>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</si>
  <si>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</si>
  <si>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</si>
  <si>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</si>
  <si>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</si>
  <si>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</si>
  <si>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</si>
  <si>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</si>
  <si>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</si>
  <si>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</si>
  <si>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</si>
  <si>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</si>
  <si>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</si>
  <si>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</si>
  <si>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</si>
  <si>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</si>
  <si>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</si>
  <si>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</si>
  <si>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</si>
  <si>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</si>
  <si>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</si>
  <si>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</si>
  <si>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</si>
  <si>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</si>
  <si>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</si>
  <si>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</si>
  <si>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</si>
  <si>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</si>
  <si>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</si>
  <si>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</si>
  <si>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</si>
  <si>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</si>
  <si>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</si>
  <si>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</si>
  <si>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</si>
  <si>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</si>
  <si>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</si>
  <si>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</si>
  <si>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</si>
  <si>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</si>
  <si>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</si>
  <si>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</si>
  <si>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</si>
  <si>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</si>
  <si>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</si>
  <si>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</si>
  <si>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</si>
  <si>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</si>
  <si>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</si>
  <si>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</si>
  <si>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</si>
  <si>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</si>
  <si>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</si>
  <si>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</si>
  <si>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</si>
  <si>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</si>
  <si>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</si>
  <si>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</si>
  <si>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</si>
  <si>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</si>
  <si>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</si>
  <si>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</si>
  <si>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</si>
  <si>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</si>
  <si>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</si>
  <si>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</si>
  <si>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</si>
  <si>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</si>
  <si>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</si>
  <si>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</si>
  <si>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</si>
  <si>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</si>
  <si>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</si>
  <si>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</si>
  <si>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</si>
  <si>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</si>
  <si>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</si>
  <si>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</si>
  <si>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</si>
  <si>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</si>
  <si>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</si>
  <si>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</si>
  <si>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</si>
  <si>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</si>
  <si>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</si>
  <si>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</si>
  <si>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</si>
  <si>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</si>
  <si>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</si>
  <si>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</si>
  <si>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</si>
  <si>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</si>
  <si>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</si>
  <si>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</si>
  <si>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</si>
  <si>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</si>
  <si>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</si>
  <si>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</si>
  <si>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</si>
  <si>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</si>
  <si>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</si>
  <si>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</si>
  <si>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</si>
  <si>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</si>
  <si>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</si>
  <si>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</si>
  <si>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</si>
  <si>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</si>
  <si>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</si>
  <si>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</si>
  <si>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</si>
  <si>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</si>
  <si>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</si>
  <si>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</si>
  <si>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</si>
  <si>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</si>
  <si>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</si>
  <si>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</si>
  <si>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</si>
  <si>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</si>
  <si>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</si>
  <si>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</si>
  <si>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</si>
  <si>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</si>
  <si>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</si>
  <si>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</si>
  <si>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</si>
  <si>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</si>
  <si>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</si>
  <si>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</si>
  <si>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</si>
  <si>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</si>
  <si>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</si>
  <si>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</si>
  <si>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</si>
  <si>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</si>
  <si>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</si>
  <si>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</si>
  <si>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</si>
  <si>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</si>
  <si>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</si>
  <si>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</si>
  <si>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</si>
  <si>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</si>
  <si>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</si>
  <si>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</si>
  <si>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</si>
  <si>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</si>
  <si>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</si>
  <si>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</si>
  <si>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</si>
  <si>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</si>
  <si>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</si>
  <si>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</si>
  <si>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</si>
  <si>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</si>
  <si>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</si>
  <si>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</si>
  <si>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</si>
  <si>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</si>
  <si>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</si>
  <si>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</si>
  <si>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</si>
  <si>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</si>
  <si>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</si>
  <si>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</si>
  <si>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</si>
  <si>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</si>
  <si>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</si>
  <si>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</si>
  <si>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</si>
  <si>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</si>
  <si>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</si>
  <si>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</si>
  <si>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</si>
  <si>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</si>
  <si>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</si>
  <si>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</si>
  <si>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</si>
  <si>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</si>
  <si>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</si>
  <si>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</si>
  <si>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</si>
  <si>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</si>
  <si>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</si>
  <si>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</si>
  <si>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</si>
  <si>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</si>
  <si>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</si>
  <si>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</si>
  <si>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</si>
  <si>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</si>
  <si>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</si>
  <si>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</si>
  <si>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</si>
  <si>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</si>
  <si>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</si>
  <si>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</si>
  <si>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</si>
  <si>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</si>
  <si>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</si>
  <si>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</si>
  <si>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</si>
  <si>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</si>
  <si>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</si>
  <si>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</si>
  <si>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</si>
  <si>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</si>
  <si>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</si>
  <si>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</si>
  <si>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</si>
  <si>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</si>
  <si>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</si>
  <si>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</si>
  <si>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</si>
  <si>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</si>
  <si>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</si>
  <si>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</si>
  <si>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</si>
  <si>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</si>
  <si>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</si>
  <si>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</si>
  <si>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</si>
  <si>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</si>
  <si>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</si>
  <si>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</si>
  <si>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</si>
  <si>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</si>
  <si>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</si>
  <si>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</si>
  <si>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</si>
  <si>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</si>
  <si>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</si>
  <si>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</si>
  <si>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</si>
  <si>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</si>
  <si>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</si>
  <si>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</si>
  <si>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</si>
  <si>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</si>
  <si>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</si>
  <si>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</si>
  <si>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</si>
  <si>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</si>
  <si>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</si>
  <si>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</si>
  <si>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</si>
  <si>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</si>
  <si>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</si>
  <si>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</si>
  <si>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t>כמה שיותר צמחוני - דירוג גבוה יותר. טבעוני יהיה הגבוה ביותר</t>
  </si>
  <si>
    <t>עד כמה המשתמש "ילד טוב" - נשמע לחוקים, לא מרדן, לא מעגל פינות וכו'.</t>
  </si>
  <si>
    <t>מוסר עבודה גבוה</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</si>
  <si>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</si>
  <si>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</si>
  <si>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</si>
  <si>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</si>
  <si>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</si>
  <si>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</si>
  <si>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</si>
  <si>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</si>
  <si>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</si>
  <si>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</si>
  <si>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</si>
  <si>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</si>
  <si>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</si>
  <si>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</si>
  <si>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</si>
  <si>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</si>
  <si>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</si>
  <si>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</si>
  <si>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</si>
  <si>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</si>
  <si>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</si>
  <si>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</si>
  <si>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</si>
  <si>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</si>
  <si>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</si>
  <si>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</si>
  <si>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</si>
  <si>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</si>
  <si>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</si>
  <si>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</si>
  <si>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</si>
  <si>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</si>
  <si>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</si>
  <si>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</si>
  <si>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</si>
  <si>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</si>
  <si>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</si>
  <si>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</si>
  <si>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</si>
  <si>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</si>
  <si>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</si>
  <si>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</si>
  <si>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</si>
  <si>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</si>
  <si>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</si>
  <si>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</si>
  <si>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</si>
  <si>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</si>
  <si>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</si>
  <si>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</si>
  <si>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</si>
  <si>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</si>
  <si>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</si>
  <si>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</si>
  <si>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</si>
  <si>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</si>
  <si>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</si>
  <si>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</si>
  <si>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</si>
  <si>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</si>
  <si>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</si>
  <si>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</si>
  <si>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</si>
  <si>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</si>
  <si>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</si>
  <si>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</si>
  <si>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</si>
  <si>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</si>
  <si>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</si>
  <si>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</si>
  <si>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</si>
  <si>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</si>
  <si>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</si>
  <si>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</si>
  <si>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</si>
  <si>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</si>
  <si>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</si>
  <si>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סוכן משוחח</t>
  </si>
  <si>
    <t>סוכנים</t>
  </si>
  <si>
    <t>קבוצה</t>
  </si>
  <si>
    <t>אינטליגנציה רגשית</t>
  </si>
  <si>
    <t>פרופיל קוגנטיבי</t>
  </si>
  <si>
    <t>אינטליגנציה מחשבתית</t>
  </si>
  <si>
    <t>IQ</t>
  </si>
  <si>
    <t>אנחנו רוצים להעריך פה בגדול עד כמה המשתמש אינטילגנטי. במובן הפשוט של המילה כמו שאתה מבין איך להעריך אינטלגנציה. לא אינטלגנציה רגשית, רק מחשבתית. תרגיש חופשי להבין את זה מהנוסח של המשתמש ומורכבות המחשבה שלו. שים לב - אין צורך להיות "פוליטיקלי קורקט" ולמצע את הציונים. תן ציון באמת כפי שנראה לך, גם אם הוא נמוך.    
לגבי המשקל עבור המשתמש - אם אתה חושב שלמשתמש מאוד חשוב מישהו חכם - תן משקל גבוה, אחרת אין צורך להזין.</t>
  </si>
  <si>
    <t xml:space="preserve">מידת אינטילגנציה רגשית. </t>
  </si>
  <si>
    <t xml:space="preserve">יציבות רגשית כללית. עד כמה המשתמש נוטה למצבי רוח קיצוניים, למצבי רוח שליליים, חרדה וכו'. </t>
  </si>
  <si>
    <t>מאפיינים שלא נכנסו בינתיים לMVP, להתעלם:</t>
  </si>
  <si>
    <t>הטיפוס המסיבתי</t>
  </si>
  <si>
    <t>FunImportance</t>
  </si>
  <si>
    <t>האם מדובר בטיפוס המסיבתי? שיוצא למסיבות כל הזמן, עושה הרבה סטוצים, וייב בלייני מסיבתי</t>
  </si>
  <si>
    <t>עד כמה הבנאדם פשוט אוהב לעשות כיף. זה לא חייב להיות סוג ספציפי של כיף, אבל נגיד - אוהב לבלות עם חברים, לצאת למסעדות, לטייל בחו"ל, לצאת לברים.. בכלל כמה חשוב לו לעשות כיף ולבלות, האם זה ממש ערך בשבילו לצאת וליהנות מהחיים? כמה שהוא יותר אוהב ומעריך כיף ובילויים נקבל פה ציון גבוה יותר</t>
  </si>
  <si>
    <t xml:space="preserve">עד כמה המשתמש קשור למשפחת המוצא שלו. שים לב - לא מדובר בעד כמה המשתמש רוצה משפחה וילדים משלו, אלא על כמה שהוא קשור למשפחת המוצא, להורים בעיקר, כמה שהמשפחה היא חלק חשוב ונוכח בחיים שלו. </t>
  </si>
  <si>
    <t>עד כמה המשתמש "סחי"  . ככל שהוא יותר סחי נתן ציון גבוה יותר. שים לב - סחיות זה גם עד כמה המשתמש סוג של בסיסי - אוהב דברים של מיינסטרים מוגזם וכו'. אלא גם כמה הדעות שלו ותחומי העניין שלו הם ממוצעים ונורמטיבים, עד כמה הוא "עם העדר". עד כמה היית מגדיר אותו בינוני ורגיל בגדול.  חשוב שתבחין בין מיינסטרים ישראלי למיינסטרים כללי. למשל - לאהוב הארי פוטר זה דבר מאוד מיינסטרימי כביכול, זה ספר מאוד פופולרי אבל בתכל'ס זה בדרך כלל יותר של חנונים ופחות מיינסטרים בישראל. שים לב לזה.  ככל שהבנאדם סחי יותר - יקבל פה ציון גבוה יותר.</t>
  </si>
  <si>
    <t>האם הבנאדם מופנם או מוחצן? ככל שהמוחצנות גבוהה - נתן ציון גבוה יותר</t>
  </si>
  <si>
    <t xml:space="preserve">רמת אנרגיה כללית. </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</si>
  <si>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</si>
  <si>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 xml:space="preserve">רמת דתיות. מי שדתי ברמה של שמירת שבת, כלומר ממש דתי בהגדרה יהיה בטווח ה90 עד 100. מעבר לזה יש לנו טווח בין חילוני גמור למסורתי קצת לדתי קצת וכו'. </t>
  </si>
  <si>
    <t xml:space="preserve">הומור וקלילות.   הומור קצת קשה לנטר, אז תתייחס בעיקר לכמה חשוב למשתמש חוש הומור, בדרך כלל זה מעיד על החוש הומור שלו עצמו. או אם הוא מעיד באופן ישיר שהוא בעל חוש הומור. קלילות אפשר לנסות להעריך לפי איך שאתה מבין </t>
  </si>
  <si>
    <t>מעורבות פוליטית. עד כמה זה חשוב למשתמש? עד כמה הוא מחזיק בדעות פוליטיות נוקשות וחי פוליטיקה?</t>
  </si>
  <si>
    <t xml:space="preserve">מעורבות חברתית. עד כמה המשתמש הוא הטיפוס המעורב, כזה שהולך להפגנות, מתעסק בתיקון חברתי, מתנדב, עד כמה אכפת לו מנושאים חברתיים בוערים וכו'. </t>
  </si>
  <si>
    <t>שמרנות/פרימיטיביות. אל תפחד להעריך פה. לא להיות פוליטיקלי קורקט. לנסות להבין כמה הבנאדם מחזיק בדעות שמרניות. ככל שיותר שמרן/פרימיטיבי - ציון גבוה יותר</t>
  </si>
  <si>
    <t xml:space="preserve">מידת ילדותיות לעומת בגרות. ככל שיותר ילדותי - ציון גבוה יותר. </t>
  </si>
  <si>
    <t>פתיחות לרעיונות וחוויות, לא במובן של פתיחות רגשית. במובן של פתיחות לחוויות חדשות, לרעיונות חדשים, צורות חיים שונות וכו'. ככל שהפתיחות גבוהה יותר - ציון גבוה יותר</t>
  </si>
  <si>
    <t xml:space="preserve">אהבה לבעלי חיים. ככל שהמשתמש אוהב יותר בעלי חיים - יקבל ציון גבוה יותר. שים לב - לא סתם לנטר אם שמעת מילה על בעלי חיים, שים לב למה שהמשתמש באמת אומר.  למשל מישהו שמפחד מכלבים יכול לציין את זה ואז יקבל ציון נמוך. מישהו שאומר שיש לו כלב - יקבל ציון גבוה. </t>
  </si>
  <si>
    <t>ציונות, אהבת המדינה. עד כמה ציונות זה ערך עבור המשתמש?</t>
  </si>
  <si>
    <t>כמה שיותר ימני - דירוג גבוה יותר. אם המשתמש מעיד על עצמו שאין לו נטייה פוליטית חזקה אפשר פחות להתעכב על הסעיף הזה. אם הוא מאוד פוליטי - קריטי לדעת לאיזה צד.</t>
  </si>
  <si>
    <t>היפסטריות. כלומר - סגנון אינדי, אולי התנשאות קלה</t>
  </si>
  <si>
    <t xml:space="preserve">כמה המשתמש חי את התל אביביות שלו, או גם אם הוא לא תל אביבי - כמה הוא בסגנון התל אביבי של יציאות, בילויים. או לחילופין - כמה הוא פריפריאלי באופי. ככל שפחות פריפריאלי יקבל פה ציון גבוה יותר. </t>
  </si>
  <si>
    <t>עד כמה המשתמש עממי. ככל שעממי יותר יקבל ציון גבוה יותר. זה יכול להתבטא במוזיקה ווייב מזרחי או בכל מה שאתה מבין כעממיות</t>
  </si>
  <si>
    <t>גיקיות</t>
  </si>
  <si>
    <t>גיקיות. לאו דווקא חנון במובן של ילד טוב וחכם. אלא גיק - כלומר בקטע של מחשבים, פנטזיה וכל מה שקשור בגיקיות</t>
  </si>
  <si>
    <t>סגנון היפי</t>
  </si>
  <si>
    <t>סגנון רוסי. זה יכול להתבטא באנליטיות גבוהה, בחינוך נוקשה או כל מה שאתה מתאר כסובייטי</t>
  </si>
  <si>
    <t xml:space="preserve">רמת בוטות. אם אתה לא מזהה בוטות אצל המשתמש אחרי כל השאלות כנראה שאפשר להגיד במידה גבוהה שיש לו בוטות נמוכה. </t>
  </si>
  <si>
    <t>זיהוי רעילות - אלימות, גזענות וכל מה שאתה מזהה כרעיל. חשוב לזהות רק את מי שבאמת רעיל. אם אחרי כל השאלות לא זיהית רעילות מיוחדת - זה אומר שהמשתמש כנראה לא רגיל.</t>
  </si>
  <si>
    <t xml:space="preserve">האם באמת מחפש שידוכים או שבא להטריל את המערכת. אם אתה רואה תשובות שנראות לך הזויות, סותרות, לא כנות או סתם לא לעניין. </t>
  </si>
  <si>
    <t>האם סביר שהמשתמש הוא טרנס או א-מיני? האם העיד על עצמו שיש לו זהות מינית מיוחדת? אם לא קיבלת שום אינדיקציה כזאת מהמשתמש אחרי כל השאלות - כנראה שאין .</t>
  </si>
  <si>
    <t>דברים שעלולים להוות דיל ברייקרס אצל הצד השני. האם זיהית אחד מהדברים הבאים: גר עם ההורים, גרוש פלוס ילדים, יש לו בעל חיים, שונא בעלי חיים. או כל דבר שאתה חושב שיכול להיות דיל ברייקר אצל משתמשים מסוימים. אם זיהית משהו כזה - פה לא ניתן ציון, אלא הערכה טקסטואלית.</t>
  </si>
  <si>
    <t>-</t>
  </si>
  <si>
    <t>עד כמה המשתמש בעל חזות גברית/נשית</t>
  </si>
  <si>
    <t>סגנון</t>
  </si>
  <si>
    <t>פרופיל רגשי</t>
  </si>
  <si>
    <t>אורח חיים</t>
  </si>
  <si>
    <t>וייב</t>
  </si>
  <si>
    <t>ערכים</t>
  </si>
  <si>
    <t>כללי</t>
  </si>
  <si>
    <t>Mainstreamness</t>
  </si>
  <si>
    <t>EQ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</si>
</sst>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37">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12"/>
  <sheetViews>
    <sheetView rightToLeft="1" workbookViewId="0">
      <selection activeCell="B12" sqref="B12"/>
    </sheetView>
  </sheetViews>
  <sheetFormatPr defaultRowHeight="14.4"/>
  <cols>
    <col min="1" max="1" width="19.33203125" customWidth="1"/>
    <col min="2" max="2" width="18.33203125" customWidth="1"/>
    <col min="3" max="3" width="15.88671875" customWidth="1"/>
    <col min="4" max="4" width="50.44140625" customWidth="1"/>
  </cols>
  <sheetData>
    <row r="1" spans="1:4">
      <c r="A1" s="35" t="s">
        <v>406</v>
      </c>
      <c r="B1" s="35" t="s">
        <v>407</v>
      </c>
      <c r="C1" s="35" t="s">
        <v>94</v>
      </c>
      <c r="D1" s="35" t="s">
        <v>408</v>
      </c>
    </row>
    <row r="2" spans="1:4">
      <c r="A2" t="s">
        <v>409</v>
      </c>
      <c r="B2" t="s">
        <v>410</v>
      </c>
      <c r="C2" t="s">
        <v>413</v>
      </c>
    </row>
    <row r="3" spans="1:4">
      <c r="A3" t="s">
        <v>409</v>
      </c>
      <c r="B3" t="s">
        <v>412</v>
      </c>
      <c r="D3" t="s">
        <v>414</v>
      </c>
    </row>
    <row r="4" spans="1:4">
      <c r="A4" t="s">
        <v>409</v>
      </c>
      <c r="B4" t="s">
        <v>411</v>
      </c>
      <c r="D4" t="s">
        <v>415</v>
      </c>
    </row>
    <row r="5" spans="1:4">
      <c r="A5" t="s">
        <v>416</v>
      </c>
    </row>
    <row r="6" spans="1:4">
      <c r="A6" t="s">
        <v>417</v>
      </c>
      <c r="B6" t="s">
        <v>418</v>
      </c>
      <c r="C6" t="s">
        <v>413</v>
      </c>
    </row>
    <row r="7" spans="1:4">
      <c r="A7" t="s">
        <v>417</v>
      </c>
      <c r="B7" t="s">
        <v>420</v>
      </c>
      <c r="C7" t="s">
        <v>413</v>
      </c>
    </row>
    <row r="8" spans="1:4">
      <c r="A8" t="s">
        <v>417</v>
      </c>
      <c r="B8" t="s">
        <v>421</v>
      </c>
      <c r="C8" t="s">
        <v>422</v>
      </c>
    </row>
    <row r="9" spans="1:4">
      <c r="A9" t="s">
        <v>426</v>
      </c>
      <c r="C9" t="s">
        <v>413</v>
      </c>
      <c r="D9" s="5"/>
    </row>
    <row r="10" spans="1:4">
      <c r="A10" t="s">
        <v>423</v>
      </c>
      <c r="B10" t="s">
        <v>424</v>
      </c>
      <c r="C10" t="s">
        <v>419</v>
      </c>
      <c r="D10" t="s">
        <v>425</v>
      </c>
    </row>
    <row r="11" spans="1:4">
      <c r="A11" t="s">
        <v>431</v>
      </c>
      <c r="B11" t="s">
        <v>429</v>
      </c>
      <c r="C11" t="s">
        <v>419</v>
      </c>
    </row>
    <row r="12" spans="1:4">
      <c r="A12" t="s">
        <v>431</v>
      </c>
      <c r="B12" t="s">
        <v>430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112</v>
      </c>
      <c r="B1" s="8"/>
      <c r="C1" s="8"/>
      <c r="D1" s="8"/>
      <c r="E1" s="8"/>
      <c r="F1" s="8"/>
      <c r="G1" s="8"/>
      <c r="H1" s="8"/>
      <c r="I1" s="8"/>
    </row>
    <row r="3" spans="1:9">
      <c r="A3" s="10" t="s">
        <v>75</v>
      </c>
      <c r="B3" s="10" t="s">
        <v>76</v>
      </c>
      <c r="C3" s="10" t="s">
        <v>67</v>
      </c>
      <c r="D3" s="10" t="s">
        <v>2</v>
      </c>
      <c r="E3" s="10" t="s">
        <v>118</v>
      </c>
      <c r="F3" s="10" t="s">
        <v>129</v>
      </c>
      <c r="G3" s="10" t="s">
        <v>69</v>
      </c>
      <c r="H3" s="10" t="s">
        <v>255</v>
      </c>
      <c r="I3" s="10" t="s">
        <v>115</v>
      </c>
    </row>
    <row r="4" spans="1:9">
      <c r="A4" s="11" t="s">
        <v>79</v>
      </c>
      <c r="B4" s="11" t="s">
        <v>72</v>
      </c>
      <c r="D4" s="5"/>
      <c r="E4" s="11" t="s">
        <v>77</v>
      </c>
      <c r="F4" s="11"/>
      <c r="G4" s="11" t="s">
        <v>78</v>
      </c>
      <c r="H4" s="11"/>
      <c r="I4" s="8"/>
    </row>
    <row r="5" spans="1:9">
      <c r="A5" s="11" t="s">
        <v>81</v>
      </c>
      <c r="B5" s="11" t="s">
        <v>82</v>
      </c>
      <c r="C5" s="11" t="s">
        <v>8</v>
      </c>
      <c r="D5" s="5"/>
      <c r="E5" s="5" t="s">
        <v>119</v>
      </c>
      <c r="F5" s="5"/>
      <c r="G5" s="11" t="s">
        <v>80</v>
      </c>
      <c r="H5" s="11"/>
      <c r="I5" s="8"/>
    </row>
    <row r="6" spans="1:9" ht="43.2">
      <c r="A6" s="11" t="s">
        <v>83</v>
      </c>
      <c r="B6" s="11" t="s">
        <v>84</v>
      </c>
      <c r="C6" s="11" t="s">
        <v>8</v>
      </c>
      <c r="D6" s="5"/>
      <c r="E6" s="5" t="s">
        <v>119</v>
      </c>
      <c r="F6" s="5" t="s">
        <v>130</v>
      </c>
      <c r="G6" s="11" t="s">
        <v>83</v>
      </c>
      <c r="H6" s="11" t="s">
        <v>292</v>
      </c>
      <c r="I6" s="5"/>
    </row>
    <row r="7" spans="1:9" ht="43.2">
      <c r="A7" s="11" t="s">
        <v>85</v>
      </c>
      <c r="B7" s="11" t="s">
        <v>86</v>
      </c>
      <c r="C7" s="11" t="s">
        <v>8</v>
      </c>
      <c r="D7" s="5" t="s">
        <v>113</v>
      </c>
      <c r="E7" s="5" t="s">
        <v>119</v>
      </c>
      <c r="F7" s="5" t="s">
        <v>130</v>
      </c>
      <c r="G7" s="11" t="s">
        <v>85</v>
      </c>
      <c r="H7" s="11" t="s">
        <v>293</v>
      </c>
      <c r="I7" s="5" t="s">
        <v>278</v>
      </c>
    </row>
    <row r="8" spans="1:9" ht="72">
      <c r="A8" s="11" t="s">
        <v>88</v>
      </c>
      <c r="B8" s="11" t="s">
        <v>89</v>
      </c>
      <c r="C8" s="11" t="s">
        <v>8</v>
      </c>
      <c r="D8" s="5" t="s">
        <v>114</v>
      </c>
      <c r="E8" s="5" t="s">
        <v>119</v>
      </c>
      <c r="F8" s="5" t="s">
        <v>130</v>
      </c>
      <c r="G8" s="11" t="s">
        <v>87</v>
      </c>
      <c r="H8" s="11" t="s">
        <v>256</v>
      </c>
      <c r="I8" s="11" t="s">
        <v>299</v>
      </c>
    </row>
    <row r="9" spans="1:9" ht="28.8">
      <c r="A9" s="11" t="s">
        <v>116</v>
      </c>
      <c r="B9" s="11" t="s">
        <v>117</v>
      </c>
      <c r="C9" s="11" t="s">
        <v>8</v>
      </c>
      <c r="D9" s="5"/>
      <c r="E9" s="5" t="s">
        <v>120</v>
      </c>
      <c r="F9" s="5" t="s">
        <v>130</v>
      </c>
      <c r="G9" s="11" t="s">
        <v>116</v>
      </c>
      <c r="H9" s="11"/>
      <c r="I9" s="11" t="s">
        <v>300</v>
      </c>
    </row>
    <row r="10" spans="1:9" ht="100.8">
      <c r="A10" s="11" t="s">
        <v>90</v>
      </c>
      <c r="B10" s="11" t="s">
        <v>91</v>
      </c>
      <c r="C10" s="11" t="s">
        <v>8</v>
      </c>
      <c r="D10" s="5"/>
      <c r="E10" s="5" t="s">
        <v>119</v>
      </c>
      <c r="F10" s="5"/>
      <c r="G10" s="11" t="s">
        <v>90</v>
      </c>
      <c r="H10" s="11" t="s">
        <v>274</v>
      </c>
      <c r="I10" s="5"/>
    </row>
    <row r="11" spans="1:9" ht="43.2">
      <c r="A11" s="11" t="s">
        <v>73</v>
      </c>
      <c r="B11" s="11" t="s">
        <v>92</v>
      </c>
      <c r="C11" s="11" t="s">
        <v>8</v>
      </c>
      <c r="D11" s="5"/>
      <c r="E11" s="5" t="s">
        <v>119</v>
      </c>
      <c r="F11" s="5" t="s">
        <v>131</v>
      </c>
      <c r="G11" s="11" t="s">
        <v>73</v>
      </c>
      <c r="H11" s="11" t="s">
        <v>294</v>
      </c>
      <c r="I11" s="5"/>
    </row>
    <row r="12" spans="1:9" ht="72">
      <c r="A12" s="11" t="s">
        <v>94</v>
      </c>
      <c r="B12" s="11" t="s">
        <v>95</v>
      </c>
      <c r="D12" s="5" t="s">
        <v>285</v>
      </c>
      <c r="E12" s="11" t="s">
        <v>121</v>
      </c>
      <c r="F12" s="11" t="s">
        <v>275</v>
      </c>
      <c r="G12" s="11" t="s">
        <v>93</v>
      </c>
      <c r="H12" s="31"/>
      <c r="I12" s="30" t="s">
        <v>286</v>
      </c>
    </row>
    <row r="13" spans="1:9" ht="43.2">
      <c r="A13" s="11" t="s">
        <v>97</v>
      </c>
      <c r="B13" s="11" t="s">
        <v>98</v>
      </c>
      <c r="D13" s="5"/>
      <c r="E13" s="11" t="s">
        <v>77</v>
      </c>
      <c r="F13" s="11" t="s">
        <v>275</v>
      </c>
      <c r="G13" s="11" t="s">
        <v>96</v>
      </c>
      <c r="H13" s="11"/>
      <c r="I13" s="8"/>
    </row>
    <row r="14" spans="1:9" ht="115.2">
      <c r="A14" s="11" t="s">
        <v>99</v>
      </c>
      <c r="B14" s="11" t="s">
        <v>100</v>
      </c>
      <c r="D14" s="5"/>
      <c r="E14" s="11" t="s">
        <v>121</v>
      </c>
      <c r="F14" s="11" t="s">
        <v>275</v>
      </c>
      <c r="G14" s="11" t="s">
        <v>295</v>
      </c>
      <c r="H14" s="11" t="s">
        <v>364</v>
      </c>
      <c r="I14" s="11"/>
    </row>
    <row r="15" spans="1:9" ht="28.8">
      <c r="A15" s="11" t="s">
        <v>101</v>
      </c>
      <c r="B15" s="11" t="s">
        <v>102</v>
      </c>
      <c r="C15" s="11" t="s">
        <v>9</v>
      </c>
      <c r="D15" s="5"/>
      <c r="E15" s="5" t="s">
        <v>121</v>
      </c>
      <c r="F15" s="5" t="s">
        <v>133</v>
      </c>
      <c r="G15" s="11" t="s">
        <v>296</v>
      </c>
      <c r="H15" s="11"/>
      <c r="I15" s="11"/>
    </row>
    <row r="16" spans="1:9">
      <c r="A16" s="11" t="s">
        <v>104</v>
      </c>
      <c r="B16" s="11" t="s">
        <v>105</v>
      </c>
      <c r="C16" s="11" t="s">
        <v>8</v>
      </c>
      <c r="D16" s="5"/>
      <c r="E16" s="5" t="s">
        <v>77</v>
      </c>
      <c r="F16" s="5"/>
      <c r="G16" s="11" t="s">
        <v>103</v>
      </c>
      <c r="H16" s="11"/>
      <c r="I16" s="30" t="s">
        <v>277</v>
      </c>
    </row>
    <row r="17" spans="1:9">
      <c r="A17" s="11" t="s">
        <v>107</v>
      </c>
      <c r="B17" s="11" t="s">
        <v>108</v>
      </c>
      <c r="C17" s="11"/>
      <c r="D17" s="5"/>
      <c r="E17" s="5" t="s">
        <v>77</v>
      </c>
      <c r="F17" s="5"/>
      <c r="G17" s="11" t="s">
        <v>106</v>
      </c>
      <c r="H17" s="11"/>
      <c r="I17" s="8"/>
    </row>
    <row r="18" spans="1:9" ht="86.4">
      <c r="A18" s="11" t="s">
        <v>61</v>
      </c>
      <c r="B18" s="11" t="s">
        <v>60</v>
      </c>
      <c r="C18" s="11" t="s">
        <v>9</v>
      </c>
      <c r="D18" s="11"/>
      <c r="E18" s="11" t="s">
        <v>121</v>
      </c>
      <c r="F18" s="11" t="s">
        <v>276</v>
      </c>
      <c r="G18" s="11" t="s">
        <v>336</v>
      </c>
      <c r="H18" s="11"/>
      <c r="I18" s="30"/>
    </row>
    <row r="19" spans="1:9" ht="57.6">
      <c r="A19" s="11" t="s">
        <v>62</v>
      </c>
      <c r="B19" s="11" t="s">
        <v>315</v>
      </c>
      <c r="C19" s="11" t="s">
        <v>9</v>
      </c>
      <c r="D19" s="11"/>
      <c r="E19" s="11" t="s">
        <v>121</v>
      </c>
      <c r="F19" s="11" t="s">
        <v>134</v>
      </c>
      <c r="G19" s="11" t="s">
        <v>335</v>
      </c>
      <c r="H19" s="11" t="s">
        <v>337</v>
      </c>
      <c r="I19" s="30"/>
    </row>
    <row r="20" spans="1:9" ht="57.6">
      <c r="A20" s="11" t="s">
        <v>126</v>
      </c>
      <c r="B20" s="11" t="s">
        <v>128</v>
      </c>
      <c r="C20" s="11" t="s">
        <v>9</v>
      </c>
      <c r="E20" s="5" t="s">
        <v>127</v>
      </c>
      <c r="F20" s="5" t="s">
        <v>135</v>
      </c>
      <c r="G20" s="11" t="s">
        <v>298</v>
      </c>
      <c r="H20" s="11" t="s">
        <v>365</v>
      </c>
      <c r="I20" s="11" t="s">
        <v>297</v>
      </c>
    </row>
    <row r="21" spans="1:9">
      <c r="A21" s="11" t="s">
        <v>288</v>
      </c>
    </row>
    <row r="22" spans="1:9">
      <c r="A22" s="11" t="s">
        <v>289</v>
      </c>
    </row>
    <row r="23" spans="1:9" ht="28.8">
      <c r="A23" s="11" t="s">
        <v>290</v>
      </c>
    </row>
    <row r="24" spans="1:9">
      <c r="A24" s="11" t="s">
        <v>291</v>
      </c>
    </row>
    <row r="25" spans="1:9">
      <c r="A25" s="11" t="s">
        <v>109</v>
      </c>
      <c r="B25" s="12" t="s">
        <v>122</v>
      </c>
      <c r="C25" s="12"/>
      <c r="D25" s="12"/>
      <c r="E25" s="12" t="s">
        <v>120</v>
      </c>
      <c r="F25" s="12"/>
      <c r="G25" s="11" t="s">
        <v>111</v>
      </c>
    </row>
    <row r="26" spans="1:9">
      <c r="A26" s="11" t="s">
        <v>110</v>
      </c>
      <c r="B26" s="12" t="s">
        <v>123</v>
      </c>
      <c r="C26" s="12"/>
      <c r="D26" s="12"/>
      <c r="E26" s="12" t="s">
        <v>120</v>
      </c>
      <c r="F26" s="12"/>
      <c r="G26" s="11" t="s">
        <v>111</v>
      </c>
    </row>
    <row r="27" spans="1:9" ht="28.8">
      <c r="A27" s="11" t="s">
        <v>366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0"/>
  <sheetViews>
    <sheetView rightToLeft="1" tabSelected="1" topLeftCell="A8" workbookViewId="0">
      <selection activeCell="E16" sqref="E16"/>
    </sheetView>
  </sheetViews>
  <sheetFormatPr defaultRowHeight="14.4"/>
  <cols>
    <col min="1" max="1" width="17.21875" customWidth="1"/>
    <col min="2" max="2" width="20.5546875" customWidth="1"/>
    <col min="3" max="3" width="17.109375" customWidth="1"/>
    <col min="4" max="4" width="53.6640625" customWidth="1"/>
    <col min="7" max="7" width="12.109375" customWidth="1"/>
    <col min="8" max="8" width="17.77734375" customWidth="1"/>
    <col min="9" max="9" width="12" customWidth="1"/>
    <col min="10" max="10" width="15.33203125" customWidth="1"/>
    <col min="11" max="11" width="40.6640625" customWidth="1"/>
  </cols>
  <sheetData>
    <row r="1" spans="1:11">
      <c r="A1" s="4" t="s">
        <v>68</v>
      </c>
    </row>
    <row r="2" spans="1:11">
      <c r="A2" s="28" t="s">
        <v>215</v>
      </c>
    </row>
    <row r="4" spans="1:11" ht="27.6">
      <c r="A4" s="9" t="s">
        <v>7</v>
      </c>
      <c r="B4" s="9" t="s">
        <v>6</v>
      </c>
      <c r="C4" s="9" t="s">
        <v>432</v>
      </c>
      <c r="D4" s="9" t="s">
        <v>5</v>
      </c>
      <c r="E4" s="9" t="s">
        <v>3</v>
      </c>
      <c r="F4" s="9" t="s">
        <v>4</v>
      </c>
      <c r="G4" s="9" t="s">
        <v>67</v>
      </c>
      <c r="H4" s="9" t="s">
        <v>0</v>
      </c>
      <c r="I4" s="9" t="s">
        <v>166</v>
      </c>
      <c r="J4" s="9" t="s">
        <v>167</v>
      </c>
      <c r="K4" s="9" t="s">
        <v>115</v>
      </c>
    </row>
    <row r="5" spans="1:11" ht="110.4">
      <c r="A5" s="3" t="s">
        <v>435</v>
      </c>
      <c r="B5" s="2" t="s">
        <v>436</v>
      </c>
      <c r="C5" s="2" t="s">
        <v>434</v>
      </c>
      <c r="D5" s="3" t="s">
        <v>437</v>
      </c>
      <c r="E5" s="2">
        <v>0.7</v>
      </c>
      <c r="F5" s="2">
        <v>10</v>
      </c>
      <c r="G5" s="3" t="s">
        <v>9</v>
      </c>
      <c r="H5" s="3" t="s">
        <v>8</v>
      </c>
      <c r="I5" s="2">
        <v>20</v>
      </c>
      <c r="J5" s="2" t="s">
        <v>168</v>
      </c>
      <c r="K5" s="21" t="s">
        <v>229</v>
      </c>
    </row>
    <row r="6" spans="1:11">
      <c r="A6" s="3" t="s">
        <v>433</v>
      </c>
      <c r="B6" s="2" t="s">
        <v>481</v>
      </c>
      <c r="C6" s="2" t="s">
        <v>434</v>
      </c>
      <c r="D6" s="3" t="s">
        <v>438</v>
      </c>
      <c r="E6" s="2">
        <v>0.6</v>
      </c>
      <c r="F6" s="2">
        <v>7</v>
      </c>
      <c r="G6" s="3"/>
      <c r="H6" s="3"/>
      <c r="I6" s="2"/>
      <c r="J6" s="2"/>
      <c r="K6" s="21"/>
    </row>
    <row r="7" spans="1:11" ht="124.2">
      <c r="A7" s="3" t="s">
        <v>10</v>
      </c>
      <c r="B7" s="2" t="s">
        <v>480</v>
      </c>
      <c r="C7" s="2" t="s">
        <v>474</v>
      </c>
      <c r="D7" s="3" t="s">
        <v>446</v>
      </c>
      <c r="E7" s="2">
        <v>0.6</v>
      </c>
      <c r="F7" s="2">
        <v>7</v>
      </c>
      <c r="G7" s="3" t="s">
        <v>8</v>
      </c>
      <c r="H7" s="3" t="s">
        <v>8</v>
      </c>
      <c r="J7" s="2" t="s">
        <v>169</v>
      </c>
    </row>
    <row r="8" spans="1:11" ht="28.8">
      <c r="A8" s="3" t="s">
        <v>12</v>
      </c>
      <c r="B8" s="2" t="s">
        <v>11</v>
      </c>
      <c r="C8" s="2" t="s">
        <v>475</v>
      </c>
      <c r="D8" s="3" t="s">
        <v>439</v>
      </c>
      <c r="E8" s="2">
        <v>0.7</v>
      </c>
      <c r="F8" s="2">
        <v>8</v>
      </c>
      <c r="G8" s="3" t="s">
        <v>8</v>
      </c>
      <c r="H8" s="3" t="s">
        <v>8</v>
      </c>
      <c r="J8" s="2" t="s">
        <v>170</v>
      </c>
    </row>
    <row r="9" spans="1:11" ht="55.2">
      <c r="A9" s="3" t="s">
        <v>16</v>
      </c>
      <c r="B9" s="2" t="s">
        <v>15</v>
      </c>
      <c r="C9" s="2" t="s">
        <v>476</v>
      </c>
      <c r="D9" s="3" t="s">
        <v>445</v>
      </c>
      <c r="E9" s="2">
        <v>0.6</v>
      </c>
      <c r="F9" s="2">
        <v>6</v>
      </c>
      <c r="G9" s="3" t="s">
        <v>14</v>
      </c>
      <c r="H9" s="3" t="s">
        <v>8</v>
      </c>
      <c r="J9" s="2" t="s">
        <v>169</v>
      </c>
    </row>
    <row r="10" spans="1:11" ht="28.8">
      <c r="A10" s="3" t="s">
        <v>441</v>
      </c>
      <c r="B10" s="2" t="s">
        <v>17</v>
      </c>
      <c r="C10" s="2" t="s">
        <v>474</v>
      </c>
      <c r="D10" s="3" t="s">
        <v>443</v>
      </c>
      <c r="E10" s="2">
        <v>0.4</v>
      </c>
      <c r="F10" s="2">
        <v>4</v>
      </c>
      <c r="G10" s="3" t="s">
        <v>8</v>
      </c>
      <c r="H10" s="3" t="s">
        <v>8</v>
      </c>
      <c r="J10" s="2" t="s">
        <v>169</v>
      </c>
    </row>
    <row r="11" spans="1:11" ht="69">
      <c r="A11" s="3" t="s">
        <v>18</v>
      </c>
      <c r="B11" s="2" t="s">
        <v>442</v>
      </c>
      <c r="C11" s="2" t="s">
        <v>476</v>
      </c>
      <c r="D11" s="3" t="s">
        <v>444</v>
      </c>
      <c r="E11" s="2">
        <v>0.5</v>
      </c>
      <c r="F11" s="2">
        <v>5</v>
      </c>
      <c r="G11" s="3" t="s">
        <v>8</v>
      </c>
      <c r="H11" s="3" t="s">
        <v>8</v>
      </c>
      <c r="J11" s="2"/>
    </row>
    <row r="12" spans="1:11" ht="27.6">
      <c r="A12" s="3" t="s">
        <v>22</v>
      </c>
      <c r="B12" s="2" t="s">
        <v>355</v>
      </c>
      <c r="C12" s="2" t="s">
        <v>477</v>
      </c>
      <c r="D12" s="3" t="s">
        <v>447</v>
      </c>
      <c r="E12" s="2">
        <v>0.4</v>
      </c>
      <c r="F12" s="2">
        <v>2</v>
      </c>
      <c r="G12" s="3" t="s">
        <v>8</v>
      </c>
      <c r="H12" s="3" t="s">
        <v>8</v>
      </c>
      <c r="J12" s="2"/>
    </row>
    <row r="13" spans="1:11">
      <c r="A13" s="3" t="s">
        <v>24</v>
      </c>
      <c r="B13" s="2" t="s">
        <v>23</v>
      </c>
      <c r="C13" s="2" t="s">
        <v>477</v>
      </c>
      <c r="D13" s="3" t="s">
        <v>448</v>
      </c>
      <c r="E13" s="2">
        <v>0.5</v>
      </c>
      <c r="F13" s="2">
        <v>4</v>
      </c>
      <c r="G13" s="3" t="s">
        <v>8</v>
      </c>
      <c r="H13" s="3" t="s">
        <v>8</v>
      </c>
      <c r="J13" s="2"/>
    </row>
    <row r="14" spans="1:11">
      <c r="A14" s="3" t="s">
        <v>27</v>
      </c>
      <c r="B14" s="2" t="s">
        <v>26</v>
      </c>
      <c r="C14" s="2" t="s">
        <v>477</v>
      </c>
      <c r="D14" s="3" t="s">
        <v>25</v>
      </c>
      <c r="E14" s="2">
        <v>0.5</v>
      </c>
      <c r="F14" s="2">
        <v>3</v>
      </c>
      <c r="G14" s="3" t="s">
        <v>8</v>
      </c>
      <c r="H14" s="3" t="s">
        <v>8</v>
      </c>
      <c r="J14" s="2"/>
    </row>
    <row r="15" spans="1:11">
      <c r="A15" s="3" t="s">
        <v>30</v>
      </c>
      <c r="B15" s="2" t="s">
        <v>29</v>
      </c>
      <c r="C15" s="2" t="s">
        <v>477</v>
      </c>
      <c r="D15" s="3" t="s">
        <v>28</v>
      </c>
      <c r="E15" s="2">
        <v>0.6</v>
      </c>
      <c r="F15" s="2">
        <v>5</v>
      </c>
      <c r="G15" s="3" t="s">
        <v>8</v>
      </c>
      <c r="H15" s="3" t="s">
        <v>8</v>
      </c>
      <c r="J15" s="2"/>
    </row>
    <row r="16" spans="1:11" ht="41.4">
      <c r="A16" s="3" t="s">
        <v>34</v>
      </c>
      <c r="B16" s="2" t="s">
        <v>33</v>
      </c>
      <c r="C16" s="2" t="s">
        <v>474</v>
      </c>
      <c r="D16" s="3" t="s">
        <v>450</v>
      </c>
      <c r="E16" s="2">
        <v>0.7</v>
      </c>
      <c r="F16" s="2">
        <v>6</v>
      </c>
      <c r="G16" s="3" t="s">
        <v>8</v>
      </c>
      <c r="H16" s="3" t="s">
        <v>8</v>
      </c>
      <c r="J16" s="2" t="s">
        <v>169</v>
      </c>
      <c r="K16" s="5" t="s">
        <v>357</v>
      </c>
    </row>
    <row r="17" spans="1:11">
      <c r="A17" s="3" t="s">
        <v>35</v>
      </c>
      <c r="B17" s="2" t="s">
        <v>36</v>
      </c>
      <c r="C17" s="2" t="s">
        <v>434</v>
      </c>
      <c r="D17" s="3" t="s">
        <v>35</v>
      </c>
      <c r="E17" s="2">
        <v>0.7</v>
      </c>
      <c r="F17" s="2">
        <v>9</v>
      </c>
      <c r="G17" s="3" t="s">
        <v>8</v>
      </c>
      <c r="H17" s="3" t="s">
        <v>8</v>
      </c>
      <c r="J17" s="2"/>
    </row>
    <row r="18" spans="1:11" ht="55.2">
      <c r="A18" s="3" t="s">
        <v>38</v>
      </c>
      <c r="B18" s="2" t="s">
        <v>37</v>
      </c>
      <c r="C18" s="2" t="s">
        <v>477</v>
      </c>
      <c r="D18" s="3" t="s">
        <v>451</v>
      </c>
      <c r="E18" s="2">
        <v>0.5</v>
      </c>
      <c r="F18" s="2">
        <v>4</v>
      </c>
      <c r="G18" s="3" t="s">
        <v>8</v>
      </c>
      <c r="H18" s="3" t="s">
        <v>8</v>
      </c>
      <c r="J18" s="2"/>
      <c r="K18" t="s">
        <v>354</v>
      </c>
    </row>
    <row r="19" spans="1:11" ht="27.6">
      <c r="A19" s="3" t="s">
        <v>40</v>
      </c>
      <c r="B19" s="2" t="s">
        <v>39</v>
      </c>
      <c r="C19" s="2" t="s">
        <v>478</v>
      </c>
      <c r="D19" s="3" t="s">
        <v>452</v>
      </c>
      <c r="E19" s="2">
        <v>0.6</v>
      </c>
      <c r="F19" s="2">
        <v>4</v>
      </c>
      <c r="G19" s="3" t="s">
        <v>8</v>
      </c>
      <c r="H19" s="2"/>
      <c r="J19" s="2"/>
    </row>
    <row r="20" spans="1:11" ht="41.4">
      <c r="A20" s="3" t="s">
        <v>41</v>
      </c>
      <c r="B20" s="2" t="s">
        <v>42</v>
      </c>
      <c r="C20" s="2" t="s">
        <v>478</v>
      </c>
      <c r="D20" s="3" t="s">
        <v>453</v>
      </c>
      <c r="E20" s="2">
        <v>0.6</v>
      </c>
      <c r="F20" s="2">
        <v>4</v>
      </c>
      <c r="G20" s="3" t="s">
        <v>14</v>
      </c>
      <c r="H20" s="2"/>
      <c r="J20" s="2"/>
    </row>
    <row r="21" spans="1:11">
      <c r="A21" s="3" t="s">
        <v>45</v>
      </c>
      <c r="B21" s="2" t="s">
        <v>44</v>
      </c>
      <c r="C21" s="2" t="s">
        <v>475</v>
      </c>
      <c r="D21" s="3" t="s">
        <v>43</v>
      </c>
      <c r="E21" s="2">
        <v>0.4</v>
      </c>
      <c r="F21" s="2">
        <v>3</v>
      </c>
      <c r="G21" s="3" t="s">
        <v>8</v>
      </c>
      <c r="H21" s="2"/>
      <c r="J21" s="2"/>
    </row>
    <row r="22" spans="1:11">
      <c r="A22" s="3" t="s">
        <v>48</v>
      </c>
      <c r="B22" s="2" t="s">
        <v>47</v>
      </c>
      <c r="C22" s="2" t="s">
        <v>475</v>
      </c>
      <c r="D22" s="3" t="s">
        <v>46</v>
      </c>
      <c r="E22" s="2">
        <v>0.4</v>
      </c>
      <c r="F22" s="2">
        <v>3</v>
      </c>
      <c r="G22" s="3" t="s">
        <v>14</v>
      </c>
      <c r="H22" s="2"/>
      <c r="J22" s="2"/>
    </row>
    <row r="23" spans="1:11" ht="41.4">
      <c r="A23" s="3" t="s">
        <v>50</v>
      </c>
      <c r="B23" s="2" t="s">
        <v>49</v>
      </c>
      <c r="C23" s="2" t="s">
        <v>475</v>
      </c>
      <c r="D23" s="3" t="s">
        <v>456</v>
      </c>
      <c r="E23" s="2">
        <v>0.6</v>
      </c>
      <c r="F23" s="2">
        <v>6</v>
      </c>
      <c r="G23" s="3" t="s">
        <v>14</v>
      </c>
      <c r="H23" s="2"/>
      <c r="J23" s="2"/>
    </row>
    <row r="24" spans="1:11">
      <c r="A24" s="3" t="s">
        <v>52</v>
      </c>
      <c r="B24" s="2" t="s">
        <v>51</v>
      </c>
      <c r="C24" s="2" t="s">
        <v>475</v>
      </c>
      <c r="D24" s="3" t="s">
        <v>455</v>
      </c>
      <c r="E24" s="2">
        <v>0.6</v>
      </c>
      <c r="F24" s="2">
        <v>7</v>
      </c>
      <c r="G24" s="3" t="s">
        <v>8</v>
      </c>
      <c r="H24" s="2"/>
      <c r="J24" s="2"/>
    </row>
    <row r="25" spans="1:11" ht="41.4">
      <c r="A25" s="3" t="s">
        <v>367</v>
      </c>
      <c r="B25" s="2" t="s">
        <v>53</v>
      </c>
      <c r="C25" s="2" t="s">
        <v>478</v>
      </c>
      <c r="D25" s="3" t="s">
        <v>454</v>
      </c>
      <c r="E25" s="2">
        <v>0.6</v>
      </c>
      <c r="F25" s="2">
        <v>7</v>
      </c>
      <c r="G25" s="3" t="s">
        <v>9</v>
      </c>
      <c r="H25" s="2"/>
      <c r="J25" s="2" t="s">
        <v>356</v>
      </c>
      <c r="K25" t="s">
        <v>13</v>
      </c>
    </row>
    <row r="26" spans="1:11" ht="69">
      <c r="A26" s="3" t="s">
        <v>54</v>
      </c>
      <c r="B26" s="2" t="s">
        <v>55</v>
      </c>
      <c r="C26" s="2" t="s">
        <v>476</v>
      </c>
      <c r="D26" s="3" t="s">
        <v>457</v>
      </c>
      <c r="E26" s="2">
        <v>0.6</v>
      </c>
      <c r="F26" s="2">
        <v>5</v>
      </c>
      <c r="G26" s="3" t="s">
        <v>14</v>
      </c>
      <c r="H26" s="2"/>
      <c r="J26" s="2"/>
    </row>
    <row r="27" spans="1:11">
      <c r="A27" s="3" t="s">
        <v>344</v>
      </c>
      <c r="C27" s="2" t="s">
        <v>478</v>
      </c>
      <c r="D27" s="3" t="s">
        <v>458</v>
      </c>
      <c r="E27" s="2">
        <v>0.2</v>
      </c>
      <c r="F27" s="2">
        <v>3</v>
      </c>
      <c r="G27" s="3" t="s">
        <v>14</v>
      </c>
      <c r="J27" s="2"/>
    </row>
    <row r="28" spans="1:11" ht="41.4">
      <c r="A28" s="3" t="s">
        <v>349</v>
      </c>
      <c r="C28" s="2" t="s">
        <v>478</v>
      </c>
      <c r="D28" s="3" t="s">
        <v>459</v>
      </c>
      <c r="E28" s="2">
        <v>0.4</v>
      </c>
      <c r="F28" s="2">
        <v>4</v>
      </c>
      <c r="G28" s="3" t="s">
        <v>9</v>
      </c>
    </row>
    <row r="29" spans="1:11">
      <c r="A29" s="3" t="s">
        <v>345</v>
      </c>
      <c r="C29" s="2" t="s">
        <v>476</v>
      </c>
      <c r="D29" s="3" t="s">
        <v>350</v>
      </c>
      <c r="E29" s="2">
        <v>0.2</v>
      </c>
      <c r="F29" s="2">
        <v>2</v>
      </c>
      <c r="G29" s="3" t="s">
        <v>14</v>
      </c>
    </row>
    <row r="30" spans="1:11">
      <c r="A30" s="3" t="s">
        <v>347</v>
      </c>
      <c r="C30" s="2" t="s">
        <v>478</v>
      </c>
      <c r="D30" s="3" t="s">
        <v>352</v>
      </c>
      <c r="E30" s="2">
        <v>0.2</v>
      </c>
      <c r="F30" s="2">
        <v>2</v>
      </c>
      <c r="G30" s="3" t="s">
        <v>14</v>
      </c>
    </row>
    <row r="31" spans="1:11" ht="27.6">
      <c r="A31" s="33" t="s">
        <v>348</v>
      </c>
      <c r="C31" s="2" t="s">
        <v>478</v>
      </c>
      <c r="D31" s="3" t="s">
        <v>351</v>
      </c>
      <c r="E31" s="2">
        <v>0.5</v>
      </c>
      <c r="F31" s="2">
        <v>4</v>
      </c>
      <c r="G31" s="3" t="s">
        <v>8</v>
      </c>
    </row>
    <row r="32" spans="1:11" ht="28.8">
      <c r="A32" s="3" t="s">
        <v>59</v>
      </c>
      <c r="B32" s="2" t="s">
        <v>58</v>
      </c>
      <c r="C32" s="2" t="s">
        <v>475</v>
      </c>
      <c r="D32" s="3" t="s">
        <v>57</v>
      </c>
      <c r="E32" s="2">
        <v>0.2</v>
      </c>
      <c r="F32" s="2"/>
      <c r="G32" s="3" t="s">
        <v>9</v>
      </c>
      <c r="H32" s="3" t="s">
        <v>56</v>
      </c>
      <c r="J32" s="2"/>
    </row>
    <row r="33" spans="1:11">
      <c r="A33" s="3" t="s">
        <v>400</v>
      </c>
      <c r="C33" s="2" t="s">
        <v>474</v>
      </c>
      <c r="D33" s="3" t="s">
        <v>460</v>
      </c>
      <c r="E33" s="2">
        <v>0.2</v>
      </c>
      <c r="F33" s="2">
        <v>4</v>
      </c>
      <c r="G33" s="3" t="s">
        <v>9</v>
      </c>
    </row>
    <row r="34" spans="1:11" ht="55.2">
      <c r="A34" s="3" t="s">
        <v>403</v>
      </c>
      <c r="C34" s="2" t="s">
        <v>474</v>
      </c>
      <c r="D34" s="3" t="s">
        <v>461</v>
      </c>
      <c r="E34" s="2">
        <v>0.2</v>
      </c>
      <c r="F34" s="2">
        <v>3</v>
      </c>
      <c r="G34" s="3" t="s">
        <v>8</v>
      </c>
    </row>
    <row r="35" spans="1:11" ht="27.6">
      <c r="A35" s="3" t="s">
        <v>401</v>
      </c>
      <c r="C35" s="2" t="s">
        <v>474</v>
      </c>
      <c r="D35" s="3" t="s">
        <v>462</v>
      </c>
      <c r="E35" s="2">
        <v>0.4</v>
      </c>
      <c r="F35" s="2">
        <v>6</v>
      </c>
      <c r="G35" s="3" t="s">
        <v>9</v>
      </c>
    </row>
    <row r="36" spans="1:11" ht="27.6">
      <c r="A36" s="3" t="s">
        <v>463</v>
      </c>
      <c r="C36" s="2" t="s">
        <v>474</v>
      </c>
      <c r="D36" s="3" t="s">
        <v>464</v>
      </c>
      <c r="E36" s="2">
        <v>0.2</v>
      </c>
      <c r="F36" s="2">
        <v>4</v>
      </c>
      <c r="G36" s="3" t="s">
        <v>9</v>
      </c>
    </row>
    <row r="37" spans="1:11">
      <c r="A37" s="3" t="s">
        <v>346</v>
      </c>
      <c r="C37" s="2" t="s">
        <v>474</v>
      </c>
      <c r="D37" s="3" t="s">
        <v>465</v>
      </c>
      <c r="E37" s="2">
        <v>0.2</v>
      </c>
      <c r="F37" s="2">
        <v>3</v>
      </c>
      <c r="G37" s="3" t="s">
        <v>8</v>
      </c>
    </row>
    <row r="38" spans="1:11" ht="27.6">
      <c r="A38" s="3" t="s">
        <v>404</v>
      </c>
      <c r="C38" s="2" t="s">
        <v>474</v>
      </c>
      <c r="D38" s="3" t="s">
        <v>466</v>
      </c>
      <c r="E38" s="2">
        <v>0.2</v>
      </c>
      <c r="F38" s="2">
        <v>3</v>
      </c>
      <c r="G38" s="3" t="s">
        <v>9</v>
      </c>
    </row>
    <row r="40" spans="1:11" ht="27.6">
      <c r="A40" s="3" t="s">
        <v>64</v>
      </c>
      <c r="B40" s="2" t="s">
        <v>63</v>
      </c>
      <c r="C40" s="2" t="s">
        <v>475</v>
      </c>
      <c r="D40" s="3" t="s">
        <v>467</v>
      </c>
      <c r="E40" s="2">
        <v>0.3</v>
      </c>
      <c r="F40" s="2">
        <v>4</v>
      </c>
      <c r="G40" s="3" t="s">
        <v>9</v>
      </c>
      <c r="H40" s="2"/>
      <c r="J40" s="2"/>
    </row>
    <row r="41" spans="1:11" ht="41.4">
      <c r="A41" s="3" t="s">
        <v>66</v>
      </c>
      <c r="B41" s="2" t="s">
        <v>65</v>
      </c>
      <c r="C41" s="2" t="s">
        <v>475</v>
      </c>
      <c r="D41" s="3" t="s">
        <v>468</v>
      </c>
      <c r="E41" s="2">
        <v>0.4</v>
      </c>
      <c r="F41" s="2"/>
      <c r="G41" s="3" t="s">
        <v>9</v>
      </c>
      <c r="H41" s="3" t="s">
        <v>56</v>
      </c>
      <c r="J41" s="2"/>
    </row>
    <row r="42" spans="1:11" ht="41.4">
      <c r="A42" s="3" t="s">
        <v>124</v>
      </c>
      <c r="B42" s="2" t="s">
        <v>125</v>
      </c>
      <c r="C42" s="2" t="s">
        <v>479</v>
      </c>
      <c r="D42" s="3" t="s">
        <v>469</v>
      </c>
      <c r="E42">
        <v>0.4</v>
      </c>
      <c r="F42" s="2"/>
      <c r="G42" s="3" t="s">
        <v>9</v>
      </c>
      <c r="H42" s="3" t="s">
        <v>56</v>
      </c>
    </row>
    <row r="43" spans="1:11" ht="41.4">
      <c r="A43" s="3" t="s">
        <v>281</v>
      </c>
      <c r="B43" s="2" t="s">
        <v>282</v>
      </c>
      <c r="C43" s="2" t="s">
        <v>479</v>
      </c>
      <c r="D43" s="3" t="s">
        <v>470</v>
      </c>
      <c r="E43" s="2">
        <v>0.4</v>
      </c>
      <c r="G43" s="3" t="s">
        <v>9</v>
      </c>
      <c r="H43" s="3" t="s">
        <v>283</v>
      </c>
      <c r="J43" s="19"/>
      <c r="K43" s="3" t="s">
        <v>353</v>
      </c>
    </row>
    <row r="44" spans="1:11" ht="69">
      <c r="A44" s="3" t="s">
        <v>279</v>
      </c>
      <c r="B44" s="2" t="s">
        <v>280</v>
      </c>
      <c r="C44" s="2" t="s">
        <v>479</v>
      </c>
      <c r="D44" s="3" t="s">
        <v>471</v>
      </c>
      <c r="E44" s="2">
        <v>0.1</v>
      </c>
      <c r="F44" s="2"/>
      <c r="G44" s="3" t="s">
        <v>9</v>
      </c>
      <c r="H44" s="3" t="s">
        <v>284</v>
      </c>
      <c r="K44" s="34"/>
    </row>
    <row r="47" spans="1:11">
      <c r="A47" s="36" t="s">
        <v>440</v>
      </c>
    </row>
    <row r="48" spans="1:11" ht="69">
      <c r="A48" s="3" t="s">
        <v>338</v>
      </c>
      <c r="B48" s="2" t="s">
        <v>339</v>
      </c>
      <c r="C48" s="2"/>
      <c r="D48" s="3" t="s">
        <v>341</v>
      </c>
      <c r="E48" s="2">
        <v>0.7</v>
      </c>
      <c r="F48" s="2">
        <v>8</v>
      </c>
      <c r="G48" s="3" t="s">
        <v>8</v>
      </c>
      <c r="H48" s="3" t="s">
        <v>340</v>
      </c>
      <c r="I48" s="3" t="s">
        <v>342</v>
      </c>
      <c r="J48" s="3" t="s">
        <v>343</v>
      </c>
      <c r="K48" s="3" t="s">
        <v>402</v>
      </c>
    </row>
    <row r="49" spans="1:10">
      <c r="A49" s="3" t="s">
        <v>21</v>
      </c>
      <c r="B49" s="2" t="s">
        <v>20</v>
      </c>
      <c r="C49" s="2"/>
      <c r="D49" s="3" t="s">
        <v>19</v>
      </c>
      <c r="E49" s="2">
        <v>0.5</v>
      </c>
      <c r="F49" s="2">
        <v>5</v>
      </c>
      <c r="G49" s="3" t="s">
        <v>8</v>
      </c>
      <c r="H49" s="3" t="s">
        <v>8</v>
      </c>
    </row>
    <row r="50" spans="1:10" ht="55.2">
      <c r="A50" s="3" t="s">
        <v>32</v>
      </c>
      <c r="B50" s="2" t="s">
        <v>31</v>
      </c>
      <c r="C50" s="2"/>
      <c r="D50" s="3" t="s">
        <v>449</v>
      </c>
      <c r="E50" s="2">
        <v>0.6</v>
      </c>
      <c r="F50" s="2">
        <v>5</v>
      </c>
      <c r="G50" s="3" t="s">
        <v>8</v>
      </c>
      <c r="H50" s="3" t="s">
        <v>8</v>
      </c>
      <c r="J50"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F8" sqref="F8"/>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160</v>
      </c>
    </row>
    <row r="2" spans="1:12" ht="41.4">
      <c r="A2" s="9" t="s">
        <v>7</v>
      </c>
      <c r="B2" s="9" t="s">
        <v>6</v>
      </c>
      <c r="C2" s="9" t="s">
        <v>162</v>
      </c>
      <c r="D2" s="9" t="s">
        <v>5</v>
      </c>
      <c r="E2" s="9" t="s">
        <v>3</v>
      </c>
      <c r="F2" s="9" t="s">
        <v>4</v>
      </c>
      <c r="G2" s="9" t="s">
        <v>67</v>
      </c>
      <c r="H2" s="9" t="s">
        <v>1</v>
      </c>
      <c r="I2" s="9" t="s">
        <v>212</v>
      </c>
      <c r="J2" s="9" t="s">
        <v>0</v>
      </c>
      <c r="K2" s="9" t="s">
        <v>161</v>
      </c>
      <c r="L2" s="9" t="s">
        <v>115</v>
      </c>
    </row>
    <row r="3" spans="1:12">
      <c r="A3" t="s">
        <v>62</v>
      </c>
      <c r="B3" t="s">
        <v>315</v>
      </c>
      <c r="C3" t="s">
        <v>135</v>
      </c>
      <c r="D3" t="s">
        <v>472</v>
      </c>
      <c r="F3">
        <v>90</v>
      </c>
      <c r="G3" t="s">
        <v>9</v>
      </c>
      <c r="H3" t="s">
        <v>369</v>
      </c>
      <c r="I3" s="19"/>
    </row>
    <row r="4" spans="1:12">
      <c r="A4" t="s">
        <v>73</v>
      </c>
      <c r="B4" t="s">
        <v>92</v>
      </c>
      <c r="C4" t="s">
        <v>163</v>
      </c>
      <c r="D4" t="s">
        <v>472</v>
      </c>
      <c r="F4">
        <v>80</v>
      </c>
      <c r="G4" t="s">
        <v>8</v>
      </c>
      <c r="H4" t="s">
        <v>368</v>
      </c>
      <c r="L4" s="5"/>
    </row>
    <row r="5" spans="1:12" ht="28.8">
      <c r="A5" t="s">
        <v>146</v>
      </c>
      <c r="B5" t="s">
        <v>307</v>
      </c>
      <c r="C5" t="s">
        <v>164</v>
      </c>
      <c r="E5">
        <v>0.5</v>
      </c>
      <c r="F5">
        <v>90</v>
      </c>
      <c r="G5" t="s">
        <v>9</v>
      </c>
      <c r="K5" t="s">
        <v>302</v>
      </c>
      <c r="L5" s="5" t="s">
        <v>314</v>
      </c>
    </row>
    <row r="6" spans="1:12">
      <c r="A6" t="s">
        <v>143</v>
      </c>
      <c r="B6" t="s">
        <v>308</v>
      </c>
      <c r="C6" t="s">
        <v>164</v>
      </c>
      <c r="E6">
        <v>0</v>
      </c>
      <c r="F6">
        <v>10</v>
      </c>
      <c r="G6" t="s">
        <v>8</v>
      </c>
      <c r="K6" t="s">
        <v>303</v>
      </c>
    </row>
    <row r="7" spans="1:12">
      <c r="A7" t="s">
        <v>144</v>
      </c>
      <c r="B7" t="s">
        <v>309</v>
      </c>
      <c r="C7" t="s">
        <v>164</v>
      </c>
      <c r="E7">
        <v>0</v>
      </c>
      <c r="F7">
        <v>0</v>
      </c>
      <c r="G7" t="s">
        <v>8</v>
      </c>
      <c r="K7" t="s">
        <v>305</v>
      </c>
    </row>
    <row r="8" spans="1:12">
      <c r="A8" t="s">
        <v>145</v>
      </c>
      <c r="B8" t="s">
        <v>310</v>
      </c>
      <c r="C8" t="s">
        <v>164</v>
      </c>
      <c r="E8">
        <v>0</v>
      </c>
      <c r="F8">
        <v>0</v>
      </c>
      <c r="G8" t="s">
        <v>8</v>
      </c>
      <c r="K8" t="s">
        <v>304</v>
      </c>
    </row>
    <row r="9" spans="1:12">
      <c r="A9" t="s">
        <v>301</v>
      </c>
      <c r="C9" t="s">
        <v>164</v>
      </c>
      <c r="E9">
        <v>0.3</v>
      </c>
      <c r="F9">
        <v>50</v>
      </c>
      <c r="G9" t="s">
        <v>9</v>
      </c>
      <c r="K9" t="s">
        <v>306</v>
      </c>
    </row>
    <row r="10" spans="1:12">
      <c r="A10" t="s">
        <v>311</v>
      </c>
      <c r="B10" t="s">
        <v>313</v>
      </c>
      <c r="C10" t="s">
        <v>164</v>
      </c>
      <c r="E10">
        <v>0.4</v>
      </c>
      <c r="F10">
        <v>60</v>
      </c>
      <c r="G10" t="s">
        <v>8</v>
      </c>
      <c r="K10" s="5" t="s">
        <v>312</v>
      </c>
    </row>
    <row r="11" spans="1:12" ht="28.8">
      <c r="A11" t="s">
        <v>358</v>
      </c>
      <c r="B11" t="s">
        <v>359</v>
      </c>
      <c r="C11" t="s">
        <v>164</v>
      </c>
      <c r="D11" t="s">
        <v>473</v>
      </c>
      <c r="E11">
        <v>0.5</v>
      </c>
      <c r="F11">
        <v>80</v>
      </c>
      <c r="G11" t="s">
        <v>9</v>
      </c>
      <c r="K11" s="5" t="s">
        <v>370</v>
      </c>
      <c r="L11" t="s">
        <v>371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149</v>
      </c>
    </row>
    <row r="3" spans="1:10">
      <c r="A3" s="14" t="s">
        <v>181</v>
      </c>
      <c r="E3" t="s">
        <v>427</v>
      </c>
    </row>
    <row r="4" spans="1:10" ht="27.6">
      <c r="A4" s="7" t="s">
        <v>6</v>
      </c>
      <c r="B4" s="7" t="s">
        <v>71</v>
      </c>
      <c r="C4" s="7" t="s">
        <v>137</v>
      </c>
      <c r="D4" s="7" t="s">
        <v>177</v>
      </c>
      <c r="E4" s="7" t="s">
        <v>150</v>
      </c>
      <c r="F4" s="7" t="s">
        <v>151</v>
      </c>
      <c r="G4" s="7" t="s">
        <v>159</v>
      </c>
    </row>
    <row r="5" spans="1:10" ht="28.8">
      <c r="C5" s="5" t="s">
        <v>183</v>
      </c>
      <c r="D5" s="5" t="s">
        <v>193</v>
      </c>
      <c r="E5" s="5" t="s">
        <v>184</v>
      </c>
      <c r="F5" s="5" t="s">
        <v>185</v>
      </c>
      <c r="G5" s="5" t="s">
        <v>175</v>
      </c>
    </row>
    <row r="8" spans="1:10">
      <c r="A8" s="14" t="s">
        <v>182</v>
      </c>
      <c r="E8" t="s">
        <v>428</v>
      </c>
    </row>
    <row r="9" spans="1:10" ht="41.4">
      <c r="A9" s="7" t="s">
        <v>6</v>
      </c>
      <c r="B9" s="7" t="s">
        <v>71</v>
      </c>
      <c r="C9" s="7" t="s">
        <v>176</v>
      </c>
      <c r="D9" s="7" t="s">
        <v>178</v>
      </c>
      <c r="E9" s="7" t="s">
        <v>70</v>
      </c>
      <c r="F9" s="7" t="s">
        <v>150</v>
      </c>
      <c r="G9" s="7" t="s">
        <v>180</v>
      </c>
      <c r="H9" s="7" t="s">
        <v>179</v>
      </c>
      <c r="I9" s="7" t="s">
        <v>159</v>
      </c>
      <c r="J9"/>
    </row>
    <row r="10" spans="1:10" ht="43.2">
      <c r="C10" s="5" t="s">
        <v>186</v>
      </c>
      <c r="D10" s="5" t="s">
        <v>187</v>
      </c>
      <c r="E10" s="5" t="s">
        <v>188</v>
      </c>
      <c r="F10" s="5" t="s">
        <v>189</v>
      </c>
      <c r="G10" s="5" t="s">
        <v>190</v>
      </c>
      <c r="H10" s="5" t="s">
        <v>191</v>
      </c>
      <c r="I10" s="5" t="s">
        <v>192</v>
      </c>
      <c r="J10" s="17"/>
    </row>
    <row r="11" spans="1:10">
      <c r="F11" s="18"/>
      <c r="G11" s="18"/>
      <c r="H11" s="17"/>
      <c r="I11" s="17"/>
      <c r="J11"/>
    </row>
    <row r="12" spans="1:10">
      <c r="A12"/>
      <c r="B12"/>
      <c r="C12"/>
      <c r="D12"/>
      <c r="E12"/>
      <c r="F12"/>
      <c r="G12"/>
      <c r="H12"/>
      <c r="I12"/>
      <c r="J12"/>
    </row>
    <row r="13" spans="1:10" ht="15.6">
      <c r="A13" s="23" t="s">
        <v>194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234</v>
      </c>
      <c r="K1" s="14" t="s">
        <v>316</v>
      </c>
    </row>
    <row r="2" spans="1:13">
      <c r="K2" t="s">
        <v>317</v>
      </c>
      <c r="L2" t="s">
        <v>318</v>
      </c>
    </row>
    <row r="3" spans="1:13" ht="57.6">
      <c r="A3" s="14" t="s">
        <v>235</v>
      </c>
      <c r="B3" s="13" t="s">
        <v>236</v>
      </c>
      <c r="C3" s="13" t="s">
        <v>237</v>
      </c>
      <c r="D3" s="14" t="s">
        <v>238</v>
      </c>
      <c r="E3" s="13" t="s">
        <v>241</v>
      </c>
      <c r="F3" s="13" t="s">
        <v>240</v>
      </c>
      <c r="G3" s="14" t="s">
        <v>239</v>
      </c>
      <c r="K3" t="s">
        <v>322</v>
      </c>
      <c r="L3" s="5" t="s">
        <v>323</v>
      </c>
      <c r="M3" s="5" t="s">
        <v>333</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319</v>
      </c>
      <c r="L4" s="5" t="s">
        <v>320</v>
      </c>
      <c r="M4" s="5" t="s">
        <v>334</v>
      </c>
    </row>
    <row r="5" spans="1:13" ht="43.2">
      <c r="A5">
        <v>3</v>
      </c>
      <c r="B5">
        <v>4</v>
      </c>
      <c r="C5">
        <v>2</v>
      </c>
      <c r="D5">
        <f t="shared" si="0"/>
        <v>15</v>
      </c>
      <c r="E5">
        <f t="shared" si="1"/>
        <v>60</v>
      </c>
      <c r="F5">
        <f t="shared" si="2"/>
        <v>80</v>
      </c>
      <c r="G5">
        <f t="shared" si="3"/>
        <v>50</v>
      </c>
      <c r="L5" s="5" t="s">
        <v>321</v>
      </c>
    </row>
    <row r="6" spans="1:13" ht="28.8">
      <c r="A6">
        <v>1</v>
      </c>
      <c r="B6">
        <v>1</v>
      </c>
      <c r="C6">
        <v>1</v>
      </c>
      <c r="D6">
        <f t="shared" si="0"/>
        <v>5</v>
      </c>
      <c r="E6">
        <f t="shared" si="1"/>
        <v>90</v>
      </c>
      <c r="F6">
        <f t="shared" si="2"/>
        <v>90</v>
      </c>
      <c r="G6">
        <f t="shared" si="3"/>
        <v>56</v>
      </c>
      <c r="K6" t="s">
        <v>324</v>
      </c>
      <c r="L6" s="5" t="s">
        <v>325</v>
      </c>
    </row>
    <row r="7" spans="1:13">
      <c r="A7">
        <v>3</v>
      </c>
      <c r="B7">
        <v>10</v>
      </c>
      <c r="C7">
        <v>6</v>
      </c>
      <c r="D7">
        <f t="shared" si="0"/>
        <v>15</v>
      </c>
      <c r="E7">
        <f t="shared" si="1"/>
        <v>0</v>
      </c>
      <c r="F7">
        <f t="shared" si="2"/>
        <v>40</v>
      </c>
      <c r="G7">
        <f t="shared" si="3"/>
        <v>22</v>
      </c>
      <c r="L7" s="5" t="s">
        <v>326</v>
      </c>
    </row>
    <row r="8" spans="1:13" ht="28.8">
      <c r="A8">
        <v>14</v>
      </c>
      <c r="B8">
        <v>4</v>
      </c>
      <c r="C8">
        <v>4</v>
      </c>
      <c r="D8">
        <f t="shared" si="0"/>
        <v>70</v>
      </c>
      <c r="E8">
        <f t="shared" si="1"/>
        <v>60</v>
      </c>
      <c r="F8">
        <f t="shared" si="2"/>
        <v>60</v>
      </c>
      <c r="G8">
        <f t="shared" si="3"/>
        <v>64</v>
      </c>
      <c r="K8" t="s">
        <v>328</v>
      </c>
      <c r="L8" s="5" t="s">
        <v>327</v>
      </c>
    </row>
    <row r="9" spans="1:13" ht="27">
      <c r="A9">
        <v>1</v>
      </c>
      <c r="B9">
        <v>10</v>
      </c>
      <c r="C9">
        <v>5</v>
      </c>
      <c r="D9">
        <f t="shared" si="0"/>
        <v>5</v>
      </c>
      <c r="E9">
        <f t="shared" si="1"/>
        <v>0</v>
      </c>
      <c r="F9">
        <f t="shared" si="2"/>
        <v>50</v>
      </c>
      <c r="G9">
        <f t="shared" si="3"/>
        <v>22</v>
      </c>
      <c r="K9" s="14" t="s">
        <v>330</v>
      </c>
      <c r="L9" s="32" t="s">
        <v>329</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332</v>
      </c>
      <c r="L11" s="5" t="s">
        <v>331</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165</v>
      </c>
      <c r="G1" s="24" t="s">
        <v>172</v>
      </c>
      <c r="J1" s="19" t="s">
        <v>174</v>
      </c>
    </row>
    <row r="3" spans="2:13">
      <c r="B3" s="5"/>
      <c r="C3" s="5" t="s">
        <v>136</v>
      </c>
      <c r="E3" s="5"/>
      <c r="F3" s="5" t="s">
        <v>138</v>
      </c>
      <c r="H3" s="5"/>
      <c r="I3" s="5"/>
      <c r="J3" s="5"/>
      <c r="K3" s="5"/>
      <c r="L3" s="5"/>
    </row>
    <row r="4" spans="2:13" ht="28.8">
      <c r="B4" s="5" t="s">
        <v>7</v>
      </c>
      <c r="C4" s="13" t="s">
        <v>152</v>
      </c>
      <c r="D4" s="13" t="s">
        <v>153</v>
      </c>
      <c r="E4" s="13" t="s">
        <v>154</v>
      </c>
      <c r="F4" s="13" t="s">
        <v>155</v>
      </c>
      <c r="G4" s="13" t="s">
        <v>156</v>
      </c>
      <c r="H4" s="13" t="s">
        <v>157</v>
      </c>
      <c r="I4" s="5" t="s">
        <v>140</v>
      </c>
      <c r="J4" s="5" t="s">
        <v>158</v>
      </c>
      <c r="K4" s="5" t="s">
        <v>148</v>
      </c>
      <c r="L4" s="5" t="s">
        <v>141</v>
      </c>
      <c r="M4" s="13" t="s">
        <v>147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38</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152</v>
      </c>
      <c r="D12" s="13" t="s">
        <v>153</v>
      </c>
      <c r="E12" s="13" t="s">
        <v>154</v>
      </c>
      <c r="F12" s="13" t="s">
        <v>155</v>
      </c>
      <c r="G12" s="13" t="s">
        <v>156</v>
      </c>
      <c r="H12" s="13" t="s">
        <v>157</v>
      </c>
      <c r="I12" s="5" t="s">
        <v>140</v>
      </c>
      <c r="J12" s="5" t="s">
        <v>158</v>
      </c>
      <c r="K12" s="5" t="s">
        <v>148</v>
      </c>
      <c r="L12" s="5" t="s">
        <v>141</v>
      </c>
      <c r="M12" s="13" t="s">
        <v>147</v>
      </c>
    </row>
    <row r="13" spans="2:13">
      <c r="B13" s="5" t="s">
        <v>139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54</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38</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52</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171</v>
      </c>
      <c r="B1" s="5"/>
      <c r="C1" s="5"/>
      <c r="D1" s="5"/>
      <c r="E1" s="5"/>
      <c r="F1" s="26" t="s">
        <v>173</v>
      </c>
      <c r="G1" s="5"/>
      <c r="H1" s="5"/>
    </row>
    <row r="2" spans="1:9">
      <c r="A2" s="5"/>
      <c r="B2" s="5"/>
      <c r="C2" s="5"/>
      <c r="D2" s="5"/>
      <c r="E2" s="5"/>
      <c r="G2" s="5"/>
      <c r="H2" s="5"/>
    </row>
    <row r="3" spans="1:9">
      <c r="A3" s="20" t="s">
        <v>214</v>
      </c>
      <c r="B3" s="5"/>
      <c r="C3" s="5"/>
      <c r="D3" s="5"/>
      <c r="E3" s="5"/>
      <c r="F3" s="5"/>
      <c r="G3" s="5"/>
      <c r="H3" s="5"/>
    </row>
    <row r="4" spans="1:9">
      <c r="F4" s="5"/>
      <c r="G4" s="5"/>
      <c r="H4" s="5"/>
    </row>
    <row r="5" spans="1:9">
      <c r="A5" t="s">
        <v>199</v>
      </c>
      <c r="B5" s="5"/>
      <c r="C5" s="5"/>
      <c r="D5" s="5"/>
      <c r="E5" s="5"/>
      <c r="F5" s="5"/>
      <c r="G5" s="5"/>
      <c r="H5" s="5"/>
    </row>
    <row r="6" spans="1:9" ht="43.2">
      <c r="A6" s="22" t="s">
        <v>71</v>
      </c>
      <c r="B6" s="22" t="s">
        <v>195</v>
      </c>
      <c r="C6" s="22" t="s">
        <v>70</v>
      </c>
      <c r="D6" s="22" t="s">
        <v>197</v>
      </c>
      <c r="E6" s="22" t="s">
        <v>196</v>
      </c>
      <c r="F6" s="22" t="s">
        <v>198</v>
      </c>
      <c r="G6" s="22" t="s">
        <v>200</v>
      </c>
      <c r="H6" s="22" t="s">
        <v>210</v>
      </c>
      <c r="I6" s="22" t="s">
        <v>201</v>
      </c>
    </row>
    <row r="7" spans="1:9">
      <c r="A7" s="5" t="s">
        <v>73</v>
      </c>
      <c r="B7" s="5" t="s">
        <v>203</v>
      </c>
      <c r="C7" s="5" t="s">
        <v>204</v>
      </c>
      <c r="D7" s="5">
        <v>95</v>
      </c>
      <c r="E7" s="5">
        <v>185</v>
      </c>
      <c r="F7" s="5">
        <v>1</v>
      </c>
      <c r="G7" s="5">
        <v>10</v>
      </c>
      <c r="H7">
        <f>F7*D7</f>
        <v>95</v>
      </c>
      <c r="I7">
        <f>D7*F7*G7</f>
        <v>950</v>
      </c>
    </row>
    <row r="8" spans="1:9">
      <c r="A8" t="s">
        <v>143</v>
      </c>
      <c r="B8" t="s">
        <v>203</v>
      </c>
      <c r="C8" t="s">
        <v>142</v>
      </c>
      <c r="D8">
        <v>80</v>
      </c>
      <c r="E8" t="s">
        <v>142</v>
      </c>
      <c r="F8">
        <v>0.5</v>
      </c>
      <c r="G8">
        <v>10</v>
      </c>
      <c r="H8">
        <f>F8*D8</f>
        <v>40</v>
      </c>
      <c r="I8">
        <f t="shared" ref="I8:I11" si="0">D8*F8*G8</f>
        <v>400</v>
      </c>
    </row>
    <row r="9" spans="1:9">
      <c r="A9" t="s">
        <v>143</v>
      </c>
      <c r="B9" t="s">
        <v>205</v>
      </c>
      <c r="C9" t="s">
        <v>206</v>
      </c>
      <c r="D9">
        <v>50</v>
      </c>
      <c r="E9" t="s">
        <v>206</v>
      </c>
      <c r="F9">
        <v>0.8</v>
      </c>
      <c r="G9">
        <v>10</v>
      </c>
      <c r="H9">
        <f>F9*D9</f>
        <v>40</v>
      </c>
      <c r="I9">
        <f t="shared" si="0"/>
        <v>400</v>
      </c>
    </row>
    <row r="10" spans="1:9">
      <c r="A10" t="s">
        <v>202</v>
      </c>
      <c r="B10" t="s">
        <v>203</v>
      </c>
      <c r="C10" t="s">
        <v>209</v>
      </c>
      <c r="D10">
        <v>80</v>
      </c>
      <c r="E10" t="s">
        <v>209</v>
      </c>
      <c r="F10">
        <v>0.5</v>
      </c>
      <c r="G10">
        <v>10</v>
      </c>
      <c r="H10">
        <f>F10*D10</f>
        <v>40</v>
      </c>
      <c r="I10">
        <f t="shared" si="0"/>
        <v>400</v>
      </c>
    </row>
    <row r="11" spans="1:9">
      <c r="A11" t="s">
        <v>144</v>
      </c>
      <c r="B11" t="s">
        <v>205</v>
      </c>
      <c r="C11" t="s">
        <v>207</v>
      </c>
      <c r="D11">
        <v>30</v>
      </c>
      <c r="E11" t="s">
        <v>208</v>
      </c>
      <c r="F11">
        <v>0.6</v>
      </c>
      <c r="G11">
        <v>0</v>
      </c>
      <c r="H11">
        <f>F11*D11</f>
        <v>18</v>
      </c>
      <c r="I11">
        <f t="shared" si="0"/>
        <v>0</v>
      </c>
    </row>
    <row r="12" spans="1:9">
      <c r="D12">
        <f>SUM(D7:D11)</f>
        <v>335</v>
      </c>
      <c r="F12">
        <f>SUM(F7:F11)</f>
        <v>3.4</v>
      </c>
      <c r="H12">
        <f>SUM(H7:H11)</f>
        <v>233</v>
      </c>
      <c r="I12" s="25">
        <f>SUM(I7:I11)/H12</f>
        <v>9.2274678111587978</v>
      </c>
    </row>
    <row r="14" spans="1:9">
      <c r="A14" s="19" t="s">
        <v>211</v>
      </c>
    </row>
    <row r="15" spans="1:9">
      <c r="A15" s="20" t="s">
        <v>213</v>
      </c>
    </row>
    <row r="17" spans="1:1">
      <c r="A17" t="s">
        <v>405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216</v>
      </c>
    </row>
    <row r="3" spans="1:14">
      <c r="A3" s="14" t="s">
        <v>217</v>
      </c>
      <c r="B3" s="14" t="s">
        <v>218</v>
      </c>
      <c r="C3" s="14" t="s">
        <v>219</v>
      </c>
      <c r="D3" s="14" t="s">
        <v>132</v>
      </c>
      <c r="E3" s="14" t="s">
        <v>220</v>
      </c>
      <c r="F3" s="14" t="s">
        <v>221</v>
      </c>
      <c r="G3" s="14" t="s">
        <v>94</v>
      </c>
      <c r="H3" s="14" t="s">
        <v>222</v>
      </c>
      <c r="I3" s="14" t="s">
        <v>227</v>
      </c>
      <c r="J3" s="14" t="s">
        <v>228</v>
      </c>
      <c r="K3" s="14" t="s">
        <v>242</v>
      </c>
      <c r="L3" s="14" t="s">
        <v>230</v>
      </c>
    </row>
    <row r="4" spans="1:14">
      <c r="I4" t="s">
        <v>232</v>
      </c>
      <c r="K4" t="s">
        <v>243</v>
      </c>
      <c r="L4" t="s">
        <v>231</v>
      </c>
    </row>
    <row r="5" spans="1:14">
      <c r="L5" s="19" t="s">
        <v>287</v>
      </c>
    </row>
    <row r="8" spans="1:14">
      <c r="A8" s="27" t="s">
        <v>233</v>
      </c>
    </row>
    <row r="10" spans="1:14">
      <c r="A10" t="s">
        <v>223</v>
      </c>
    </row>
    <row r="11" spans="1:14">
      <c r="A11" s="14" t="s">
        <v>217</v>
      </c>
      <c r="B11" s="14" t="s">
        <v>218</v>
      </c>
      <c r="C11" s="14" t="s">
        <v>219</v>
      </c>
      <c r="D11" s="14" t="s">
        <v>132</v>
      </c>
      <c r="E11" s="14" t="s">
        <v>220</v>
      </c>
      <c r="F11" s="14" t="s">
        <v>221</v>
      </c>
      <c r="G11" s="14" t="s">
        <v>94</v>
      </c>
      <c r="H11" s="14" t="s">
        <v>222</v>
      </c>
      <c r="I11" s="14" t="s">
        <v>227</v>
      </c>
      <c r="J11" s="14" t="s">
        <v>228</v>
      </c>
      <c r="K11" s="14" t="s">
        <v>242</v>
      </c>
      <c r="L11" s="14" t="s">
        <v>230</v>
      </c>
    </row>
    <row r="12" spans="1:14">
      <c r="A12">
        <v>4541</v>
      </c>
      <c r="B12">
        <v>221</v>
      </c>
      <c r="C12">
        <v>844</v>
      </c>
      <c r="D12">
        <v>73</v>
      </c>
      <c r="E12" t="s">
        <v>224</v>
      </c>
      <c r="F12" t="s">
        <v>225</v>
      </c>
      <c r="G12" t="s">
        <v>226</v>
      </c>
      <c r="H12" s="29">
        <v>46075</v>
      </c>
      <c r="I12">
        <v>60</v>
      </c>
      <c r="J12">
        <v>50</v>
      </c>
      <c r="K12">
        <f>(J12+I12)/2</f>
        <v>55</v>
      </c>
      <c r="L12">
        <f>0.3*K12+0.7*D12</f>
        <v>67.599999999999994</v>
      </c>
      <c r="N12" t="s">
        <v>244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257</v>
      </c>
      <c r="D1" t="s">
        <v>272</v>
      </c>
    </row>
    <row r="3" spans="1:5">
      <c r="C3" t="s">
        <v>71</v>
      </c>
      <c r="D3" s="14" t="s">
        <v>258</v>
      </c>
      <c r="E3" s="14" t="s">
        <v>115</v>
      </c>
    </row>
    <row r="4" spans="1:5">
      <c r="C4" s="14" t="s">
        <v>249</v>
      </c>
    </row>
    <row r="5" spans="1:5">
      <c r="C5" t="s">
        <v>81</v>
      </c>
      <c r="D5" t="s">
        <v>259</v>
      </c>
    </row>
    <row r="6" spans="1:5">
      <c r="C6" t="s">
        <v>85</v>
      </c>
      <c r="D6" t="s">
        <v>260</v>
      </c>
    </row>
    <row r="7" spans="1:5">
      <c r="C7" t="s">
        <v>83</v>
      </c>
      <c r="D7" t="s">
        <v>261</v>
      </c>
      <c r="E7" t="s">
        <v>273</v>
      </c>
    </row>
    <row r="8" spans="1:5" ht="28.8">
      <c r="C8" t="s">
        <v>90</v>
      </c>
      <c r="D8" t="s">
        <v>262</v>
      </c>
      <c r="E8" s="5" t="s">
        <v>263</v>
      </c>
    </row>
    <row r="9" spans="1:5">
      <c r="C9" t="s">
        <v>73</v>
      </c>
      <c r="D9" t="s">
        <v>261</v>
      </c>
    </row>
    <row r="10" spans="1:5" ht="43.2">
      <c r="C10" t="s">
        <v>74</v>
      </c>
      <c r="D10" s="5" t="s">
        <v>264</v>
      </c>
      <c r="E10" s="19" t="s">
        <v>265</v>
      </c>
    </row>
    <row r="12" spans="1:5">
      <c r="C12" s="14" t="s">
        <v>250</v>
      </c>
    </row>
    <row r="13" spans="1:5">
      <c r="C13" t="s">
        <v>245</v>
      </c>
      <c r="D13" t="s">
        <v>266</v>
      </c>
      <c r="E13" s="19" t="s">
        <v>267</v>
      </c>
    </row>
    <row r="14" spans="1:5">
      <c r="C14" t="s">
        <v>246</v>
      </c>
      <c r="D14" t="s">
        <v>268</v>
      </c>
      <c r="E14" t="s">
        <v>269</v>
      </c>
    </row>
    <row r="15" spans="1:5">
      <c r="C15" t="s">
        <v>247</v>
      </c>
      <c r="D15" t="s">
        <v>268</v>
      </c>
      <c r="E15" t="s">
        <v>270</v>
      </c>
    </row>
    <row r="16" spans="1:5">
      <c r="C16" t="s">
        <v>248</v>
      </c>
      <c r="D16" t="s">
        <v>271</v>
      </c>
    </row>
    <row r="19" spans="2:2">
      <c r="B19" t="s">
        <v>251</v>
      </c>
    </row>
    <row r="21" spans="2:2">
      <c r="B21" t="s">
        <v>252</v>
      </c>
    </row>
    <row r="24" spans="2:2">
      <c r="B24" t="s">
        <v>253</v>
      </c>
    </row>
    <row r="25" spans="2:2">
      <c r="B25" t="s">
        <v>254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372</v>
      </c>
    </row>
    <row r="2" spans="1:4">
      <c r="A2" s="14" t="s">
        <v>381</v>
      </c>
      <c r="B2" s="14" t="s">
        <v>377</v>
      </c>
    </row>
    <row r="3" spans="1:4">
      <c r="A3" t="s">
        <v>373</v>
      </c>
      <c r="B3" t="s">
        <v>378</v>
      </c>
    </row>
    <row r="4" spans="1:4">
      <c r="A4" t="s">
        <v>375</v>
      </c>
    </row>
    <row r="5" spans="1:4">
      <c r="A5" t="s">
        <v>374</v>
      </c>
      <c r="B5" t="s">
        <v>379</v>
      </c>
    </row>
    <row r="6" spans="1:4">
      <c r="A6" t="s">
        <v>376</v>
      </c>
      <c r="B6" t="s">
        <v>380</v>
      </c>
    </row>
    <row r="8" spans="1:4">
      <c r="A8" s="14" t="s">
        <v>382</v>
      </c>
    </row>
    <row r="9" spans="1:4">
      <c r="A9" t="s">
        <v>90</v>
      </c>
      <c r="B9" t="s">
        <v>381</v>
      </c>
    </row>
    <row r="12" spans="1:4">
      <c r="A12" s="14" t="s">
        <v>383</v>
      </c>
    </row>
    <row r="13" spans="1:4">
      <c r="A13" s="14" t="s">
        <v>384</v>
      </c>
      <c r="B13" s="14" t="s">
        <v>399</v>
      </c>
      <c r="C13" s="14" t="s">
        <v>385</v>
      </c>
      <c r="D13" s="14" t="s">
        <v>386</v>
      </c>
    </row>
    <row r="14" spans="1:4">
      <c r="A14" t="s">
        <v>397</v>
      </c>
    </row>
    <row r="16" spans="1:4">
      <c r="A16" t="s">
        <v>398</v>
      </c>
    </row>
    <row r="17" spans="1:3">
      <c r="A17" t="s">
        <v>387</v>
      </c>
      <c r="C17" s="3"/>
    </row>
    <row r="18" spans="1:3">
      <c r="A18" t="s">
        <v>388</v>
      </c>
    </row>
    <row r="19" spans="1:3">
      <c r="A19" t="s">
        <v>389</v>
      </c>
    </row>
    <row r="20" spans="1:3">
      <c r="A20" t="s">
        <v>390</v>
      </c>
    </row>
    <row r="21" spans="1:3">
      <c r="A21" t="s">
        <v>391</v>
      </c>
    </row>
    <row r="22" spans="1:3">
      <c r="A22" t="s">
        <v>392</v>
      </c>
    </row>
    <row r="23" spans="1:3">
      <c r="A23" t="s">
        <v>393</v>
      </c>
    </row>
    <row r="24" spans="1:3">
      <c r="A24" t="s">
        <v>394</v>
      </c>
    </row>
    <row r="25" spans="1:3">
      <c r="A25" t="s">
        <v>395</v>
      </c>
    </row>
    <row r="26" spans="1:3">
      <c r="A26" t="s">
        <v>396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5"/>
  <sheetViews>
    <sheetView rightToLeft="1" workbookViewId="0">
      <selection activeCell="A3" sqref="A3"/>
    </sheetView>
  </sheetViews>
  <sheetFormatPr defaultRowHeight="14.4"/>
  <sheetData>
    <row r="1" spans="1:1">
      <c r="A1" s="14" t="s">
        <v>360</v>
      </c>
    </row>
    <row r="3" spans="1:1">
      <c r="A3" t="s">
        <v>361</v>
      </c>
    </row>
    <row r="4" spans="1:1">
      <c r="A4" t="s">
        <v>363</v>
      </c>
    </row>
    <row r="5" spans="1:1">
      <c r="A5" t="s">
        <v>362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My Tasks</vt:lpstr>
      <vt:lpstr>פרטי משתמש</vt:lpstr>
      <vt:lpstr>מאפיינים - כללי</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2026-04-04T22:54:33Z</dcterms:modified>
</cp:coreProperties>
</file>